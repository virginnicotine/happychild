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3BCF32CC-3EE3-448C-BE97-A4E7ECB717E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1" l="1"/>
  <c r="O30" i="1"/>
  <c r="M30" i="1"/>
  <c r="P29" i="1"/>
  <c r="O29" i="1"/>
  <c r="M29" i="1"/>
  <c r="P28" i="1"/>
  <c r="O28" i="1"/>
  <c r="M28" i="1"/>
  <c r="P27" i="1"/>
  <c r="O27" i="1"/>
  <c r="M27" i="1"/>
  <c r="P26" i="1"/>
  <c r="O26" i="1"/>
  <c r="M26" i="1"/>
  <c r="O25" i="1"/>
  <c r="K25" i="1"/>
  <c r="P25" i="1" s="1"/>
  <c r="O24" i="1"/>
  <c r="K24" i="1"/>
  <c r="P24" i="1" s="1"/>
  <c r="O23" i="1"/>
  <c r="M23" i="1"/>
  <c r="K23" i="1"/>
  <c r="P23" i="1" s="1"/>
  <c r="O22" i="1"/>
  <c r="M22" i="1"/>
  <c r="K22" i="1"/>
  <c r="P22" i="1" s="1"/>
  <c r="O21" i="1"/>
  <c r="M21" i="1"/>
  <c r="K21" i="1"/>
  <c r="P21" i="1" s="1"/>
  <c r="O20" i="1"/>
  <c r="M20" i="1"/>
  <c r="K20" i="1"/>
  <c r="P20" i="1" s="1"/>
  <c r="K19" i="1"/>
  <c r="P19" i="1" s="1"/>
  <c r="O18" i="1"/>
  <c r="K18" i="1"/>
  <c r="P18" i="1" s="1"/>
  <c r="O17" i="1"/>
  <c r="M17" i="1"/>
  <c r="K17" i="1"/>
  <c r="P17" i="1" s="1"/>
  <c r="O16" i="1"/>
  <c r="K16" i="1"/>
  <c r="P16" i="1" s="1"/>
  <c r="O15" i="1"/>
  <c r="M15" i="1"/>
  <c r="K15" i="1"/>
  <c r="P15" i="1" s="1"/>
  <c r="O14" i="1"/>
  <c r="M14" i="1"/>
  <c r="K14" i="1"/>
  <c r="P14" i="1" s="1"/>
  <c r="O13" i="1"/>
  <c r="M13" i="1"/>
  <c r="K13" i="1"/>
  <c r="P13" i="1" s="1"/>
  <c r="O12" i="1"/>
  <c r="M12" i="1"/>
  <c r="K12" i="1"/>
  <c r="P12" i="1" s="1"/>
  <c r="O11" i="1"/>
  <c r="M11" i="1"/>
  <c r="K11" i="1"/>
  <c r="P11" i="1" s="1"/>
  <c r="P10" i="1"/>
  <c r="O10" i="1"/>
  <c r="M10" i="1"/>
  <c r="O9" i="1"/>
  <c r="O31" i="1" s="1"/>
  <c r="M9" i="1"/>
  <c r="M31" i="1" s="1"/>
  <c r="K9" i="1"/>
  <c r="P9" i="1" s="1"/>
  <c r="P8" i="1"/>
  <c r="K8" i="1"/>
  <c r="K7" i="1"/>
  <c r="P7" i="1" s="1"/>
  <c r="K6" i="1"/>
  <c r="P6" i="1" s="1"/>
  <c r="P31" i="1" l="1"/>
</calcChain>
</file>

<file path=xl/sharedStrings.xml><?xml version="1.0" encoding="utf-8"?>
<sst xmlns="http://schemas.openxmlformats.org/spreadsheetml/2006/main" count="70" uniqueCount="66">
  <si>
    <t>ПСР-1.18</t>
  </si>
  <si>
    <t>Размер 3,00 х 1,60 х 1,60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</si>
  <si>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</si>
  <si>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</si>
  <si>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</si>
  <si>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</si>
  <si>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</si>
  <si>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</si>
  <si>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</si>
  <si>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</si>
  <si>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</si>
  <si>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</si>
  <si>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</si>
  <si>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</si>
  <si>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</si>
  <si>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</si>
  <si>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</si>
  <si>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СТОЛБЫ</t>
  </si>
  <si>
    <t>0080ДБ</t>
  </si>
  <si>
    <t>Столб (брус 100х100)  350 мм</t>
  </si>
  <si>
    <t>0041ДБ</t>
  </si>
  <si>
    <t>Столб (брус 100х100)  750 мм</t>
  </si>
  <si>
    <t>0008ДБ</t>
  </si>
  <si>
    <t>Столб (брус 100х100)  1500 мм</t>
  </si>
  <si>
    <t>0013МП</t>
  </si>
  <si>
    <t>Закладная для столба 100х100</t>
  </si>
  <si>
    <t>ПАНЕЛИ</t>
  </si>
  <si>
    <t>ЭЛЕМЕНТЫ ДОМИКОВ  1.08</t>
  </si>
  <si>
    <t>001182</t>
  </si>
  <si>
    <t xml:space="preserve">Корма песочницы ПСР-1.18
1167 x 700 x 21 </t>
  </si>
  <si>
    <t>001183</t>
  </si>
  <si>
    <t>Борт 850 песочницы -1.18
850 x 300 x 21</t>
  </si>
  <si>
    <t>000912</t>
  </si>
  <si>
    <t>Борт песочницы корабль нижний 6.08
1200 x 300 x 21</t>
  </si>
  <si>
    <t>001184</t>
  </si>
  <si>
    <t xml:space="preserve">Борт 2000 песочницы -1.18
2000 x 300 x 21 </t>
  </si>
  <si>
    <t>000107</t>
  </si>
  <si>
    <t xml:space="preserve">Панель Люк 800
800 x 700 x 21 </t>
  </si>
  <si>
    <t>000108</t>
  </si>
  <si>
    <t>Накладка Панели Люк 800
480 x 275 x 15</t>
  </si>
  <si>
    <t>000226</t>
  </si>
  <si>
    <t>Панель с 2 пазами для сидушки 6.10
800 x 700 x 21</t>
  </si>
  <si>
    <t>000227</t>
  </si>
  <si>
    <r>
      <rPr>
        <sz val="13.5"/>
        <color indexed="64"/>
        <rFont val="Trebuchet MS"/>
      </rPr>
      <t>Сидушка для панели с 2 пазами 6.10</t>
    </r>
    <r>
      <rPr>
        <sz val="11"/>
        <color theme="1"/>
        <rFont val="Calibri"/>
      </rPr>
      <t xml:space="preserve">
</t>
    </r>
    <r>
      <rPr>
        <sz val="13.5"/>
        <color indexed="64"/>
        <rFont val="Trebuchet MS"/>
      </rPr>
      <t>600 x 271 x 21 </t>
    </r>
  </si>
  <si>
    <t>000228</t>
  </si>
  <si>
    <t xml:space="preserve">Подпорка сидушки с 2 пазами 6.10
255 x 255 x 21 </t>
  </si>
  <si>
    <t>000229</t>
  </si>
  <si>
    <t xml:space="preserve">Якорь 6.10
357 x 407 x 15 </t>
  </si>
  <si>
    <t>000224</t>
  </si>
  <si>
    <t xml:space="preserve">Накл. на нижн.парус спас.круг 6.10
349 x 175 x 15 </t>
  </si>
  <si>
    <t>000915</t>
  </si>
  <si>
    <t xml:space="preserve">Столик песочницы 6.08
500 x 500 x 21 </t>
  </si>
  <si>
    <t>000378</t>
  </si>
  <si>
    <t xml:space="preserve">Фронтон крыши Паровоза 6.01
893 x 400 x 21 </t>
  </si>
  <si>
    <t>000373</t>
  </si>
  <si>
    <t>Скат крыши Паровоза 6.01
1000 x 500 x 15</t>
  </si>
  <si>
    <t>0003МП</t>
  </si>
  <si>
    <t>Уголок крепления фанеры</t>
  </si>
  <si>
    <t>ЗАГЛУШКИ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</si>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</sst>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Calibri"/>
    </font>
    <font>
      <sz val="11"/>
      <color theme="1"/>
      <name val="Calibri"/>
      <scheme val="minor"/>
    </font>
    <font>
      <i/>
      <sz val="12"/>
      <color theme="1"/>
      <name val="Arial"/>
    </font>
    <font>
      <b/>
      <sz val="16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Arial"/>
    </font>
    <font>
      <b/>
      <i/>
      <sz val="11"/>
      <color theme="1"/>
      <name val="Arial"/>
    </font>
    <font>
      <b/>
      <i/>
      <sz val="12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1"/>
      <color theme="0"/>
      <name val="Arial"/>
    </font>
    <font>
      <sz val="11"/>
      <color theme="1"/>
      <name val="Arial"/>
    </font>
    <font>
      <b/>
      <sz val="16"/>
      <color theme="1"/>
      <name val="Arial"/>
    </font>
    <font>
      <sz val="9"/>
      <color theme="1"/>
      <name val="Arial"/>
    </font>
    <font>
      <i/>
      <sz val="12"/>
      <color theme="1"/>
      <name val="Calibri"/>
      <scheme val="minor"/>
    </font>
    <font>
      <sz val="11"/>
      <color theme="1"/>
      <name val="Cambria"/>
      <scheme val="major"/>
    </font>
    <font>
      <sz val="13.5"/>
      <color indexed="64"/>
      <name val="Trebuchet MS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0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6" xfId="0" applyFont="1" applyBorder="1"/>
    <xf numFmtId="0" fontId="6" fillId="0" borderId="14" xfId="0" applyFont="1" applyBorder="1"/>
    <xf numFmtId="0" fontId="6" fillId="0" borderId="15" xfId="0" applyFont="1" applyBorder="1"/>
    <xf numFmtId="0" fontId="1" fillId="0" borderId="15" xfId="0" applyFont="1" applyBorder="1"/>
    <xf numFmtId="0" fontId="9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 indent="1"/>
    </xf>
    <xf numFmtId="0" fontId="2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0" fontId="11" fillId="4" borderId="2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165" fontId="10" fillId="0" borderId="23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65" fontId="10" fillId="0" borderId="2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5" borderId="5" xfId="0" applyFont="1" applyFill="1" applyBorder="1" applyAlignment="1">
      <alignment horizontal="center" vertical="center"/>
    </xf>
    <xf numFmtId="164" fontId="2" fillId="0" borderId="27" xfId="0" applyNumberFormat="1" applyFont="1" applyBorder="1" applyAlignment="1">
      <alignment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28" xfId="0" applyFont="1" applyBorder="1"/>
    <xf numFmtId="0" fontId="6" fillId="0" borderId="2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14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 textRotation="90" wrapText="1"/>
    </xf>
    <xf numFmtId="0" fontId="13" fillId="3" borderId="28" xfId="0" applyFont="1" applyFill="1" applyBorder="1" applyAlignment="1">
      <alignment horizontal="center" vertical="center" textRotation="90" wrapText="1"/>
    </xf>
    <xf numFmtId="0" fontId="13" fillId="3" borderId="16" xfId="0" applyFont="1" applyFill="1" applyBorder="1" applyAlignment="1">
      <alignment horizontal="center" vertical="center" textRotation="90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emf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583914" y="23621999"/>
    <xdr:ext cx="1609461" cy="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prstGeom prst="rect">
          <a:avLst/>
        </a:prstGeom>
      </xdr:spPr>
    </xdr:pic>
    <xdr:clientData/>
  </xdr:absoluteAnchor>
  <xdr:absoluteAnchor>
    <xdr:pos x="6083851" y="23711648"/>
    <xdr:ext cx="599663" cy="60511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5994205" y="24410894"/>
    <xdr:ext cx="832866" cy="80498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5658887" y="9232018"/>
    <xdr:ext cx="1425145" cy="8413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 bwMode="auto">
        <a:prstGeom prst="rect">
          <a:avLst/>
        </a:prstGeom>
      </xdr:spPr>
    </xdr:pic>
    <xdr:clientData/>
  </xdr:absoluteAnchor>
  <xdr:absoluteAnchor>
    <xdr:pos x="5805828" y="10373073"/>
    <xdr:ext cx="1230521" cy="49016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 bwMode="auto">
        <a:prstGeom prst="rect">
          <a:avLst/>
        </a:prstGeom>
      </xdr:spPr>
    </xdr:pic>
    <xdr:clientData/>
  </xdr:absoluteAnchor>
  <xdr:absoluteAnchor>
    <xdr:pos x="6108149" y="17029338"/>
    <xdr:ext cx="600370" cy="68532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 bwMode="auto">
        <a:prstGeom prst="rect">
          <a:avLst/>
        </a:prstGeom>
      </xdr:spPr>
    </xdr:pic>
    <xdr:clientData/>
  </xdr:absoluteAnchor>
  <xdr:absoluteAnchor>
    <xdr:pos x="5930090" y="17963568"/>
    <xdr:ext cx="983795" cy="5556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 bwMode="auto">
        <a:prstGeom prst="rect">
          <a:avLst/>
        </a:prstGeom>
      </xdr:spPr>
    </xdr:pic>
    <xdr:clientData/>
  </xdr:absoluteAnchor>
  <xdr:absoluteAnchor>
    <xdr:pos x="6019023" y="19754748"/>
    <xdr:ext cx="854042" cy="80413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 bwMode="auto">
        <a:prstGeom prst="rect">
          <a:avLst/>
        </a:prstGeom>
      </xdr:spPr>
    </xdr:pic>
    <xdr:clientData/>
  </xdr:absoluteAnchor>
  <xdr:absoluteAnchor>
    <xdr:pos x="5994205" y="24410894"/>
    <xdr:ext cx="832866" cy="80498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6016617" y="25377962"/>
    <xdr:ext cx="828673" cy="6953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/>
        <a:srcRect t="8989" b="8989"/>
        <a:stretch/>
      </xdr:blipFill>
      <xdr:spPr bwMode="auto">
        <a:prstGeom prst="rect">
          <a:avLst/>
        </a:prstGeom>
      </xdr:spPr>
    </xdr:pic>
    <xdr:clientData/>
  </xdr:absoluteAnchor>
  <xdr:absoluteAnchor>
    <xdr:pos x="5994205" y="24410894"/>
    <xdr:ext cx="832866" cy="80498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7479182" y="3321503"/>
    <xdr:ext cx="4030924" cy="2231572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/>
        <a:srcRect l="4188" t="5046" r="9058" b="16314"/>
        <a:stretch/>
      </xdr:blipFill>
      <xdr:spPr bwMode="auto">
        <a:prstGeom prst="rect">
          <a:avLst/>
        </a:prstGeom>
      </xdr:spPr>
    </xdr:pic>
    <xdr:clientData/>
  </xdr:absoluteAnchor>
  <xdr:absoluteAnchor>
    <xdr:pos x="3405316" y="2176617"/>
    <xdr:ext cx="4113901" cy="3430886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 bwMode="auto">
        <a:prstGeom prst="rect">
          <a:avLst/>
        </a:prstGeom>
      </xdr:spPr>
    </xdr:pic>
    <xdr:clientData/>
  </xdr:absoluteAnchor>
  <xdr:absoluteAnchor>
    <xdr:pos x="68035" y="559252"/>
    <xdr:ext cx="4248959" cy="33402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1"/>
        <a:srcRect l="3499" t="7276" r="3673" b="6960"/>
        <a:stretch/>
      </xdr:blipFill>
      <xdr:spPr bwMode="auto">
        <a:prstGeom prst="rect">
          <a:avLst/>
        </a:prstGeom>
      </xdr:spPr>
    </xdr:pic>
    <xdr:clientData/>
  </xdr:absoluteAnchor>
  <xdr:absoluteAnchor>
    <xdr:pos x="5688020" y="11206843"/>
    <xdr:ext cx="1416365" cy="42189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 bwMode="auto">
        <a:prstGeom prst="rect">
          <a:avLst/>
        </a:prstGeom>
      </xdr:spPr>
    </xdr:pic>
    <xdr:clientData/>
  </xdr:absoluteAnchor>
  <xdr:absoluteAnchor>
    <xdr:pos x="5592771" y="12061371"/>
    <xdr:ext cx="1620473" cy="28596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 bwMode="auto">
        <a:prstGeom prst="rect">
          <a:avLst/>
        </a:prstGeom>
      </xdr:spPr>
    </xdr:pic>
    <xdr:clientData/>
  </xdr:absoluteAnchor>
  <xdr:absoluteAnchor>
    <xdr:pos x="6011898" y="12732181"/>
    <xdr:ext cx="847560" cy="737809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 bwMode="auto">
        <a:prstGeom prst="rect">
          <a:avLst/>
        </a:prstGeom>
      </xdr:spPr>
    </xdr:pic>
    <xdr:clientData/>
  </xdr:absoluteAnchor>
  <xdr:absoluteAnchor>
    <xdr:pos x="6019497" y="13750017"/>
    <xdr:ext cx="827714" cy="509846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 bwMode="auto">
        <a:prstGeom prst="rect">
          <a:avLst/>
        </a:prstGeom>
      </xdr:spPr>
    </xdr:pic>
    <xdr:clientData/>
  </xdr:absoluteAnchor>
  <xdr:absoluteAnchor>
    <xdr:pos x="5930090" y="18858918"/>
    <xdr:ext cx="983795" cy="55566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 bwMode="auto">
        <a:prstGeom prst="rect">
          <a:avLst/>
        </a:prstGeom>
      </xdr:spPr>
    </xdr:pic>
    <xdr:clientData/>
  </xdr:absoluteAnchor>
  <xdr:absoluteAnchor>
    <xdr:pos x="5922042" y="20868379"/>
    <xdr:ext cx="1106398" cy="516318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 bwMode="auto">
        <a:prstGeom prst="rect">
          <a:avLst/>
        </a:prstGeom>
      </xdr:spPr>
    </xdr:pic>
    <xdr:clientData/>
  </xdr:absoluteAnchor>
  <xdr:absoluteAnchor>
    <xdr:pos x="6187363" y="21578158"/>
    <xdr:ext cx="495200" cy="925048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 bwMode="auto">
        <a:prstGeom prst="rect">
          <a:avLst/>
        </a:prstGeom>
      </xdr:spPr>
    </xdr:pic>
    <xdr:clientData/>
  </xdr:absoluteAnchor>
  <xdr:absoluteAnchor>
    <xdr:pos x="6029423" y="16203385"/>
    <xdr:ext cx="762000" cy="758532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8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5988600" y="14431735"/>
    <xdr:ext cx="870854" cy="832348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9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5879742" y="15489013"/>
    <xdr:ext cx="1012370" cy="55517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0"/>
        <a:srcRect/>
        <a:stretch/>
      </xdr:blipFill>
      <xdr:spPr bwMode="auto">
        <a:prstGeom prst="rect">
          <a:avLst/>
        </a:prstGeom>
      </xdr:spPr>
    </xdr:pic>
    <xdr:clientData/>
  </xdr:absoluteAnchor>
  <xdr:absoluteAnchor>
    <xdr:pos x="6083851" y="22702158"/>
    <xdr:ext cx="367392" cy="482289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 bwMode="auto">
        <a:prstGeom prst="rect">
          <a:avLst/>
        </a:prstGeom>
      </xdr:spPr>
    </xdr:pic>
    <xdr:clientData/>
  </xdr:absoluteAnchor>
  <xdr:absoluteAnchor>
    <xdr:pos x="5634815" y="8206468"/>
    <xdr:ext cx="1496786" cy="415017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2"/>
        <a:srcRect/>
        <a:stretch/>
      </xdr:blipFill>
      <xdr:spPr bwMode="auto"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B4" workbookViewId="0">
      <selection sqref="A1:K1"/>
    </sheetView>
  </sheetViews>
  <sheetFormatPr defaultColWidth="9.140625" defaultRowHeight="15.75" x14ac:dyDescent="0.25"/>
  <cols>
    <col min="1" max="1" width="6.28515625" hidden="1" customWidth="1"/>
    <col min="2" max="2" width="7.7109375" style="1" customWidth="1"/>
    <col min="3" max="3" width="16.28515625" customWidth="1"/>
    <col min="4" max="4" width="41.28515625" style="2" customWidth="1"/>
    <col min="5" max="5" width="11.7109375" style="3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4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</cols>
  <sheetData>
    <row r="1" spans="1:16" ht="21" x14ac:dyDescent="0.2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</row>
    <row r="2" spans="1:16" ht="18.75" customHeight="1" x14ac:dyDescent="0.25">
      <c r="A2" s="5"/>
      <c r="B2" s="77" t="s">
        <v>1</v>
      </c>
      <c r="C2" s="78"/>
      <c r="D2" s="78"/>
      <c r="E2" s="78"/>
      <c r="F2" s="78"/>
      <c r="G2" s="78"/>
      <c r="H2" s="78"/>
      <c r="I2" s="78"/>
      <c r="J2" s="78"/>
      <c r="K2" s="79"/>
    </row>
    <row r="3" spans="1:16" ht="408.75" customHeight="1" x14ac:dyDescent="0.25">
      <c r="A3" s="6"/>
      <c r="B3" s="80"/>
      <c r="C3" s="81"/>
      <c r="D3" s="81"/>
      <c r="E3" s="81"/>
      <c r="F3" s="81"/>
      <c r="G3" s="81"/>
      <c r="H3" s="81"/>
      <c r="I3" s="81"/>
      <c r="J3" s="81"/>
      <c r="K3" s="82"/>
    </row>
    <row r="4" spans="1:16" ht="69" customHeight="1" x14ac:dyDescent="0.25">
      <c r="A4" s="7"/>
      <c r="B4" s="8" t="s">
        <v>2</v>
      </c>
      <c r="C4" s="9" t="s">
        <v>3</v>
      </c>
      <c r="D4" s="10" t="s">
        <v>4</v>
      </c>
      <c r="E4" s="9" t="s">
        <v>5</v>
      </c>
      <c r="F4" s="9" t="s">
        <v>6</v>
      </c>
      <c r="G4" s="9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3" t="s">
        <v>12</v>
      </c>
      <c r="M4" s="14" t="s">
        <v>13</v>
      </c>
      <c r="N4" s="15" t="s">
        <v>14</v>
      </c>
      <c r="O4" s="14" t="s">
        <v>15</v>
      </c>
      <c r="P4" s="16" t="s">
        <v>16</v>
      </c>
    </row>
    <row r="5" spans="1:16" ht="15" x14ac:dyDescent="0.25">
      <c r="A5" s="17"/>
      <c r="B5" s="83" t="s">
        <v>17</v>
      </c>
      <c r="C5" s="84"/>
      <c r="D5" s="84"/>
      <c r="E5" s="84"/>
      <c r="F5" s="84"/>
      <c r="G5" s="84"/>
      <c r="H5" s="84"/>
      <c r="I5" s="84"/>
      <c r="J5" s="84"/>
      <c r="K5" s="85"/>
      <c r="L5" s="18"/>
      <c r="M5" s="19"/>
      <c r="N5" s="19"/>
      <c r="O5" s="19"/>
      <c r="P5" s="20"/>
    </row>
    <row r="6" spans="1:16" s="21" customFormat="1" ht="33.75" customHeight="1" x14ac:dyDescent="0.2">
      <c r="A6" s="17"/>
      <c r="B6" s="22">
        <v>1</v>
      </c>
      <c r="C6" s="23" t="s">
        <v>18</v>
      </c>
      <c r="D6" s="24" t="s">
        <v>19</v>
      </c>
      <c r="E6" s="25">
        <v>5</v>
      </c>
      <c r="F6" s="26"/>
      <c r="G6" s="27">
        <v>8014</v>
      </c>
      <c r="H6" s="28">
        <v>0.35</v>
      </c>
      <c r="I6" s="28">
        <v>0.1</v>
      </c>
      <c r="J6" s="28">
        <v>0.1</v>
      </c>
      <c r="K6" s="29">
        <f t="shared" ref="K6:K9" si="0">H6*I6*J6</f>
        <v>3.4999999999999996E-3</v>
      </c>
      <c r="L6" s="30"/>
      <c r="M6" s="31"/>
      <c r="N6" s="31"/>
      <c r="O6" s="31"/>
      <c r="P6" s="31">
        <f t="shared" ref="P6:P9" si="1">K6*E6</f>
        <v>1.7499999999999998E-2</v>
      </c>
    </row>
    <row r="7" spans="1:16" s="21" customFormat="1" ht="34.5" customHeight="1" x14ac:dyDescent="0.2">
      <c r="A7" s="32"/>
      <c r="B7" s="33">
        <v>2</v>
      </c>
      <c r="C7" s="34" t="s">
        <v>20</v>
      </c>
      <c r="D7" s="35" t="s">
        <v>21</v>
      </c>
      <c r="E7" s="36">
        <v>1</v>
      </c>
      <c r="F7" s="37"/>
      <c r="G7" s="27">
        <v>8014</v>
      </c>
      <c r="H7" s="37">
        <v>1</v>
      </c>
      <c r="I7" s="37">
        <v>0.09</v>
      </c>
      <c r="J7" s="37">
        <v>0.09</v>
      </c>
      <c r="K7" s="38">
        <f t="shared" si="0"/>
        <v>8.0999999999999996E-3</v>
      </c>
      <c r="L7" s="18"/>
      <c r="M7" s="19"/>
      <c r="N7" s="19"/>
      <c r="O7" s="19"/>
      <c r="P7" s="31">
        <f t="shared" si="1"/>
        <v>8.0999999999999996E-3</v>
      </c>
    </row>
    <row r="8" spans="1:16" s="21" customFormat="1" ht="30.75" customHeight="1" x14ac:dyDescent="0.2">
      <c r="A8" s="32"/>
      <c r="B8" s="33">
        <v>3</v>
      </c>
      <c r="C8" s="34" t="s">
        <v>22</v>
      </c>
      <c r="D8" s="35" t="s">
        <v>23</v>
      </c>
      <c r="E8" s="36">
        <v>4</v>
      </c>
      <c r="F8" s="37"/>
      <c r="G8" s="27">
        <v>8014</v>
      </c>
      <c r="H8" s="37">
        <v>1.5</v>
      </c>
      <c r="I8" s="37">
        <v>0.09</v>
      </c>
      <c r="J8" s="37">
        <v>0.09</v>
      </c>
      <c r="K8" s="38">
        <f t="shared" si="0"/>
        <v>1.2150000000000001E-2</v>
      </c>
      <c r="L8" s="18"/>
      <c r="M8" s="19"/>
      <c r="N8" s="19"/>
      <c r="O8" s="19"/>
      <c r="P8" s="31">
        <f t="shared" si="1"/>
        <v>4.8600000000000004E-2</v>
      </c>
    </row>
    <row r="9" spans="1:16" s="21" customFormat="1" ht="63.75" customHeight="1" x14ac:dyDescent="0.25">
      <c r="A9" s="32"/>
      <c r="B9" s="33">
        <v>4</v>
      </c>
      <c r="C9" s="39" t="s">
        <v>24</v>
      </c>
      <c r="D9" s="40" t="s">
        <v>25</v>
      </c>
      <c r="E9" s="39">
        <v>10</v>
      </c>
      <c r="F9" s="39"/>
      <c r="G9" s="41">
        <v>7047</v>
      </c>
      <c r="H9" s="39">
        <v>7.4999999999999997E-2</v>
      </c>
      <c r="I9" s="39">
        <v>7.4999999999999997E-2</v>
      </c>
      <c r="J9" s="39">
        <v>0.26</v>
      </c>
      <c r="K9" s="42">
        <f t="shared" si="0"/>
        <v>1.4625E-3</v>
      </c>
      <c r="L9" s="13">
        <v>4</v>
      </c>
      <c r="M9" s="15">
        <f>L9*E9</f>
        <v>40</v>
      </c>
      <c r="N9" s="15"/>
      <c r="O9" s="15">
        <f>N9*E9</f>
        <v>0</v>
      </c>
      <c r="P9" s="31">
        <f t="shared" si="1"/>
        <v>1.4625000000000001E-2</v>
      </c>
    </row>
    <row r="10" spans="1:16" ht="15" x14ac:dyDescent="0.25">
      <c r="A10" s="17"/>
      <c r="B10" s="86" t="s">
        <v>26</v>
      </c>
      <c r="C10" s="87"/>
      <c r="D10" s="87"/>
      <c r="E10" s="87"/>
      <c r="F10" s="87"/>
      <c r="G10" s="87"/>
      <c r="H10" s="87"/>
      <c r="I10" s="87"/>
      <c r="J10" s="87"/>
      <c r="K10" s="88"/>
      <c r="L10" s="18"/>
      <c r="M10" s="15">
        <f t="shared" ref="M10:M30" si="2">L10*E10</f>
        <v>0</v>
      </c>
      <c r="N10" s="19"/>
      <c r="O10" s="15">
        <f t="shared" ref="O10:O30" si="3">N10*E10</f>
        <v>0</v>
      </c>
      <c r="P10" s="31">
        <f t="shared" ref="P10:P30" si="4">K10*E10</f>
        <v>0</v>
      </c>
    </row>
    <row r="11" spans="1:16" s="21" customFormat="1" ht="93.75" customHeight="1" x14ac:dyDescent="0.25">
      <c r="A11" s="89" t="s">
        <v>27</v>
      </c>
      <c r="B11" s="22">
        <v>5</v>
      </c>
      <c r="C11" s="43" t="s">
        <v>28</v>
      </c>
      <c r="D11" s="25" t="s">
        <v>29</v>
      </c>
      <c r="E11" s="25">
        <v>2</v>
      </c>
      <c r="F11" s="25"/>
      <c r="G11" s="44">
        <v>5017</v>
      </c>
      <c r="H11" s="25">
        <v>1.19</v>
      </c>
      <c r="I11" s="25">
        <v>0.7</v>
      </c>
      <c r="J11" s="25">
        <v>2.1000000000000001E-2</v>
      </c>
      <c r="K11" s="45">
        <f t="shared" ref="K11:K25" si="5">H11*I11*J11</f>
        <v>1.7493000000000002E-2</v>
      </c>
      <c r="L11" s="30">
        <v>4</v>
      </c>
      <c r="M11" s="15">
        <f t="shared" si="2"/>
        <v>8</v>
      </c>
      <c r="N11" s="31"/>
      <c r="O11" s="15">
        <f t="shared" si="3"/>
        <v>0</v>
      </c>
      <c r="P11" s="31">
        <f t="shared" si="4"/>
        <v>3.4986000000000003E-2</v>
      </c>
    </row>
    <row r="12" spans="1:16" s="21" customFormat="1" ht="63" customHeight="1" x14ac:dyDescent="0.25">
      <c r="A12" s="90"/>
      <c r="B12" s="33">
        <v>6</v>
      </c>
      <c r="C12" s="43" t="s">
        <v>30</v>
      </c>
      <c r="D12" s="36" t="s">
        <v>31</v>
      </c>
      <c r="E12" s="36">
        <v>1</v>
      </c>
      <c r="F12" s="36"/>
      <c r="G12" s="46">
        <v>2008</v>
      </c>
      <c r="H12" s="36">
        <v>0.84699999999999998</v>
      </c>
      <c r="I12" s="36">
        <v>0.3</v>
      </c>
      <c r="J12" s="36">
        <v>2.1000000000000001E-2</v>
      </c>
      <c r="K12" s="47">
        <f t="shared" si="5"/>
        <v>5.3360999999999999E-3</v>
      </c>
      <c r="L12" s="30">
        <v>4</v>
      </c>
      <c r="M12" s="15">
        <f t="shared" si="2"/>
        <v>4</v>
      </c>
      <c r="N12" s="31"/>
      <c r="O12" s="15">
        <f t="shared" si="3"/>
        <v>0</v>
      </c>
      <c r="P12" s="31">
        <f t="shared" si="4"/>
        <v>5.3360999999999999E-3</v>
      </c>
    </row>
    <row r="13" spans="1:16" s="21" customFormat="1" ht="63" customHeight="1" x14ac:dyDescent="0.25">
      <c r="A13" s="90"/>
      <c r="B13" s="22">
        <v>7</v>
      </c>
      <c r="C13" s="48" t="s">
        <v>32</v>
      </c>
      <c r="D13" s="36" t="s">
        <v>33</v>
      </c>
      <c r="E13" s="36">
        <v>1</v>
      </c>
      <c r="F13" s="36"/>
      <c r="G13" s="46">
        <v>2008</v>
      </c>
      <c r="H13" s="36">
        <v>1.19</v>
      </c>
      <c r="I13" s="36">
        <v>0.3</v>
      </c>
      <c r="J13" s="36">
        <v>2.1000000000000001E-2</v>
      </c>
      <c r="K13" s="47">
        <f t="shared" si="5"/>
        <v>7.4970000000000002E-3</v>
      </c>
      <c r="L13" s="30">
        <v>4</v>
      </c>
      <c r="M13" s="15">
        <f t="shared" si="2"/>
        <v>4</v>
      </c>
      <c r="N13" s="31"/>
      <c r="O13" s="15">
        <f t="shared" si="3"/>
        <v>0</v>
      </c>
      <c r="P13" s="31">
        <f t="shared" si="4"/>
        <v>7.4970000000000002E-3</v>
      </c>
    </row>
    <row r="14" spans="1:16" s="21" customFormat="1" ht="63" customHeight="1" x14ac:dyDescent="0.25">
      <c r="A14" s="90"/>
      <c r="B14" s="33">
        <v>8</v>
      </c>
      <c r="C14" s="48" t="s">
        <v>34</v>
      </c>
      <c r="D14" s="36" t="s">
        <v>35</v>
      </c>
      <c r="E14" s="36">
        <v>1</v>
      </c>
      <c r="F14" s="36"/>
      <c r="G14" s="46">
        <v>2008</v>
      </c>
      <c r="H14" s="36">
        <v>2</v>
      </c>
      <c r="I14" s="36">
        <v>0.3</v>
      </c>
      <c r="J14" s="36">
        <v>2.1000000000000001E-2</v>
      </c>
      <c r="K14" s="47">
        <f t="shared" si="5"/>
        <v>1.26E-2</v>
      </c>
      <c r="L14" s="30">
        <v>4</v>
      </c>
      <c r="M14" s="15">
        <f t="shared" si="2"/>
        <v>4</v>
      </c>
      <c r="N14" s="31"/>
      <c r="O14" s="15">
        <f t="shared" si="3"/>
        <v>0</v>
      </c>
      <c r="P14" s="31">
        <f t="shared" si="4"/>
        <v>1.26E-2</v>
      </c>
    </row>
    <row r="15" spans="1:16" s="21" customFormat="1" ht="75" customHeight="1" x14ac:dyDescent="0.25">
      <c r="A15" s="90"/>
      <c r="B15" s="22">
        <v>9</v>
      </c>
      <c r="C15" s="48" t="s">
        <v>36</v>
      </c>
      <c r="D15" s="36" t="s">
        <v>37</v>
      </c>
      <c r="E15" s="36">
        <v>1</v>
      </c>
      <c r="F15" s="49"/>
      <c r="G15" s="44">
        <v>5017</v>
      </c>
      <c r="H15" s="36">
        <v>0.8</v>
      </c>
      <c r="I15" s="36">
        <v>0.7</v>
      </c>
      <c r="J15" s="36">
        <v>2.1000000000000001E-2</v>
      </c>
      <c r="K15" s="50">
        <f t="shared" si="5"/>
        <v>1.176E-2</v>
      </c>
      <c r="L15" s="51">
        <v>4</v>
      </c>
      <c r="M15" s="49">
        <f t="shared" si="2"/>
        <v>4</v>
      </c>
      <c r="N15" s="52"/>
      <c r="O15" s="15">
        <f t="shared" si="3"/>
        <v>0</v>
      </c>
      <c r="P15" s="31">
        <f t="shared" si="4"/>
        <v>1.176E-2</v>
      </c>
    </row>
    <row r="16" spans="1:16" s="21" customFormat="1" ht="61.5" customHeight="1" x14ac:dyDescent="0.25">
      <c r="A16" s="90"/>
      <c r="B16" s="33">
        <v>10</v>
      </c>
      <c r="C16" s="48" t="s">
        <v>38</v>
      </c>
      <c r="D16" s="36" t="s">
        <v>39</v>
      </c>
      <c r="E16" s="36">
        <v>2</v>
      </c>
      <c r="F16" s="49"/>
      <c r="G16" s="53">
        <v>7047</v>
      </c>
      <c r="H16" s="36">
        <v>0.55000000000000004</v>
      </c>
      <c r="I16" s="36">
        <v>0.1</v>
      </c>
      <c r="J16" s="36">
        <v>1.4999999999999999E-2</v>
      </c>
      <c r="K16" s="50">
        <f t="shared" si="5"/>
        <v>8.250000000000001E-4</v>
      </c>
      <c r="L16" s="51"/>
      <c r="M16" s="49"/>
      <c r="N16" s="52">
        <v>3</v>
      </c>
      <c r="O16" s="15">
        <f t="shared" si="3"/>
        <v>6</v>
      </c>
      <c r="P16" s="31">
        <f t="shared" si="4"/>
        <v>1.6500000000000002E-3</v>
      </c>
    </row>
    <row r="17" spans="1:16" s="21" customFormat="1" ht="75.75" customHeight="1" x14ac:dyDescent="0.25">
      <c r="A17" s="90"/>
      <c r="B17" s="22">
        <v>11</v>
      </c>
      <c r="C17" s="48" t="s">
        <v>40</v>
      </c>
      <c r="D17" s="36" t="s">
        <v>41</v>
      </c>
      <c r="E17" s="36">
        <v>1</v>
      </c>
      <c r="F17" s="20"/>
      <c r="G17" s="44">
        <v>5017</v>
      </c>
      <c r="H17" s="36">
        <v>0.8</v>
      </c>
      <c r="I17" s="36">
        <v>0.7</v>
      </c>
      <c r="J17" s="36">
        <v>2.1000000000000001E-2</v>
      </c>
      <c r="K17" s="47">
        <f t="shared" si="5"/>
        <v>1.176E-2</v>
      </c>
      <c r="L17" s="30">
        <v>4</v>
      </c>
      <c r="M17" s="15">
        <f t="shared" si="2"/>
        <v>4</v>
      </c>
      <c r="N17" s="31"/>
      <c r="O17" s="15">
        <f t="shared" si="3"/>
        <v>0</v>
      </c>
      <c r="P17" s="31">
        <f t="shared" si="4"/>
        <v>1.176E-2</v>
      </c>
    </row>
    <row r="18" spans="1:16" s="21" customFormat="1" ht="63.75" customHeight="1" x14ac:dyDescent="0.25">
      <c r="A18" s="90"/>
      <c r="B18" s="33">
        <v>12</v>
      </c>
      <c r="C18" s="48" t="s">
        <v>42</v>
      </c>
      <c r="D18" s="35" t="s">
        <v>43</v>
      </c>
      <c r="E18" s="36">
        <v>1</v>
      </c>
      <c r="G18" s="44">
        <v>5017</v>
      </c>
      <c r="H18" s="36">
        <v>0.62</v>
      </c>
      <c r="I18" s="36">
        <v>0.26800000000000002</v>
      </c>
      <c r="J18" s="36">
        <v>2.1000000000000001E-2</v>
      </c>
      <c r="K18" s="50">
        <f t="shared" si="5"/>
        <v>3.4893600000000004E-3</v>
      </c>
      <c r="L18" s="51"/>
      <c r="M18" s="49"/>
      <c r="N18" s="52">
        <v>2</v>
      </c>
      <c r="O18" s="15">
        <f t="shared" si="3"/>
        <v>2</v>
      </c>
      <c r="P18" s="31">
        <f t="shared" si="4"/>
        <v>3.4893600000000004E-3</v>
      </c>
    </row>
    <row r="19" spans="1:16" s="21" customFormat="1" ht="63.75" customHeight="1" x14ac:dyDescent="0.25">
      <c r="A19" s="90"/>
      <c r="B19" s="22">
        <v>13</v>
      </c>
      <c r="C19" s="48" t="s">
        <v>44</v>
      </c>
      <c r="D19" s="36" t="s">
        <v>45</v>
      </c>
      <c r="E19" s="36">
        <v>1</v>
      </c>
      <c r="F19" s="36"/>
      <c r="G19" s="44">
        <v>5017</v>
      </c>
      <c r="H19" s="36">
        <v>0.28999999999999998</v>
      </c>
      <c r="I19" s="36">
        <v>0.28999999999999998</v>
      </c>
      <c r="J19" s="36">
        <v>2.1000000000000001E-2</v>
      </c>
      <c r="K19" s="47">
        <f t="shared" si="5"/>
        <v>1.7661E-3</v>
      </c>
      <c r="L19" s="30"/>
      <c r="M19" s="15"/>
      <c r="N19" s="31"/>
      <c r="O19" s="15"/>
      <c r="P19" s="31">
        <f t="shared" si="4"/>
        <v>1.7661E-3</v>
      </c>
    </row>
    <row r="20" spans="1:16" s="21" customFormat="1" ht="71.25" customHeight="1" x14ac:dyDescent="0.25">
      <c r="A20" s="90"/>
      <c r="B20" s="33">
        <v>14</v>
      </c>
      <c r="C20" s="48" t="s">
        <v>46</v>
      </c>
      <c r="D20" s="36" t="s">
        <v>47</v>
      </c>
      <c r="E20" s="36">
        <v>1</v>
      </c>
      <c r="F20" s="36"/>
      <c r="G20" s="54">
        <v>7047</v>
      </c>
      <c r="H20" s="36">
        <v>0.40699999999999997</v>
      </c>
      <c r="I20" s="36">
        <v>0.35699999999999998</v>
      </c>
      <c r="J20" s="36">
        <v>1.4999999999999999E-2</v>
      </c>
      <c r="K20" s="47">
        <f t="shared" si="5"/>
        <v>2.1794849999999997E-3</v>
      </c>
      <c r="L20" s="30"/>
      <c r="M20" s="15">
        <f t="shared" si="2"/>
        <v>0</v>
      </c>
      <c r="N20" s="31">
        <v>3</v>
      </c>
      <c r="O20" s="15">
        <f t="shared" si="3"/>
        <v>3</v>
      </c>
      <c r="P20" s="31">
        <f t="shared" si="4"/>
        <v>2.1794849999999997E-3</v>
      </c>
    </row>
    <row r="21" spans="1:16" s="21" customFormat="1" ht="70.5" customHeight="1" x14ac:dyDescent="0.25">
      <c r="A21" s="90"/>
      <c r="B21" s="22">
        <v>15</v>
      </c>
      <c r="C21" s="48" t="s">
        <v>48</v>
      </c>
      <c r="D21" s="36" t="s">
        <v>49</v>
      </c>
      <c r="E21" s="36">
        <v>2</v>
      </c>
      <c r="F21" s="36"/>
      <c r="G21" s="54">
        <v>7047</v>
      </c>
      <c r="H21" s="36">
        <v>0.34899999999999998</v>
      </c>
      <c r="I21" s="36">
        <v>0.17499999999999999</v>
      </c>
      <c r="J21" s="36">
        <v>1.4999999999999999E-2</v>
      </c>
      <c r="K21" s="47">
        <f t="shared" si="5"/>
        <v>9.1612499999999984E-4</v>
      </c>
      <c r="L21" s="30"/>
      <c r="M21" s="15">
        <f t="shared" si="2"/>
        <v>0</v>
      </c>
      <c r="N21" s="31">
        <v>2</v>
      </c>
      <c r="O21" s="15">
        <f t="shared" si="3"/>
        <v>4</v>
      </c>
      <c r="P21" s="31">
        <f t="shared" si="4"/>
        <v>1.8322499999999997E-3</v>
      </c>
    </row>
    <row r="22" spans="1:16" s="21" customFormat="1" ht="70.5" customHeight="1" x14ac:dyDescent="0.25">
      <c r="A22" s="90"/>
      <c r="B22" s="33">
        <v>16</v>
      </c>
      <c r="C22" s="48" t="s">
        <v>48</v>
      </c>
      <c r="D22" s="36" t="s">
        <v>49</v>
      </c>
      <c r="E22" s="36">
        <v>2</v>
      </c>
      <c r="F22" s="36"/>
      <c r="G22" s="55">
        <v>3020</v>
      </c>
      <c r="H22" s="36">
        <v>0.34899999999999998</v>
      </c>
      <c r="I22" s="36">
        <v>0.17499999999999999</v>
      </c>
      <c r="J22" s="36">
        <v>1.4999999999999999E-2</v>
      </c>
      <c r="K22" s="47">
        <f t="shared" si="5"/>
        <v>9.1612499999999984E-4</v>
      </c>
      <c r="L22" s="30"/>
      <c r="M22" s="15">
        <f t="shared" si="2"/>
        <v>0</v>
      </c>
      <c r="N22" s="31">
        <v>2</v>
      </c>
      <c r="O22" s="15">
        <f t="shared" si="3"/>
        <v>4</v>
      </c>
      <c r="P22" s="31">
        <f t="shared" si="4"/>
        <v>1.8322499999999997E-3</v>
      </c>
    </row>
    <row r="23" spans="1:16" s="21" customFormat="1" ht="87.75" customHeight="1" x14ac:dyDescent="0.25">
      <c r="A23" s="90"/>
      <c r="B23" s="33">
        <v>17</v>
      </c>
      <c r="C23" s="48" t="s">
        <v>50</v>
      </c>
      <c r="D23" s="36" t="s">
        <v>51</v>
      </c>
      <c r="E23" s="36">
        <v>2</v>
      </c>
      <c r="F23" s="36"/>
      <c r="G23" s="46">
        <v>2008</v>
      </c>
      <c r="H23" s="36">
        <v>0.35</v>
      </c>
      <c r="I23" s="36">
        <v>0.35</v>
      </c>
      <c r="J23" s="36">
        <v>1.4999999999999999E-2</v>
      </c>
      <c r="K23" s="47">
        <f t="shared" si="5"/>
        <v>1.8374999999999997E-3</v>
      </c>
      <c r="L23" s="30"/>
      <c r="M23" s="15">
        <f t="shared" si="2"/>
        <v>0</v>
      </c>
      <c r="N23" s="31">
        <v>2</v>
      </c>
      <c r="O23" s="15">
        <f t="shared" si="3"/>
        <v>4</v>
      </c>
      <c r="P23" s="31">
        <f t="shared" si="4"/>
        <v>3.6749999999999994E-3</v>
      </c>
    </row>
    <row r="24" spans="1:16" s="21" customFormat="1" ht="57" customHeight="1" x14ac:dyDescent="0.25">
      <c r="A24" s="90"/>
      <c r="B24" s="33">
        <v>18</v>
      </c>
      <c r="C24" s="48" t="s">
        <v>52</v>
      </c>
      <c r="D24" s="36" t="s">
        <v>53</v>
      </c>
      <c r="E24" s="36">
        <v>2</v>
      </c>
      <c r="F24" s="49"/>
      <c r="G24" s="53">
        <v>7047</v>
      </c>
      <c r="H24" s="36">
        <v>0.89300000000000002</v>
      </c>
      <c r="I24" s="36">
        <v>0.4</v>
      </c>
      <c r="J24" s="36">
        <v>1.4999999999999999E-2</v>
      </c>
      <c r="K24" s="50">
        <f t="shared" si="5"/>
        <v>5.3579999999999999E-3</v>
      </c>
      <c r="L24" s="51">
        <v>4</v>
      </c>
      <c r="M24" s="49"/>
      <c r="N24" s="52">
        <v>4</v>
      </c>
      <c r="O24" s="15">
        <f t="shared" si="3"/>
        <v>8</v>
      </c>
      <c r="P24" s="31">
        <f t="shared" si="4"/>
        <v>1.0716E-2</v>
      </c>
    </row>
    <row r="25" spans="1:16" s="21" customFormat="1" ht="87.75" customHeight="1" x14ac:dyDescent="0.25">
      <c r="A25" s="91"/>
      <c r="B25" s="33">
        <v>19</v>
      </c>
      <c r="C25" s="48" t="s">
        <v>54</v>
      </c>
      <c r="D25" s="36" t="s">
        <v>55</v>
      </c>
      <c r="E25" s="36">
        <v>2</v>
      </c>
      <c r="F25" s="49"/>
      <c r="G25" s="56">
        <v>5012</v>
      </c>
      <c r="H25" s="36">
        <v>1</v>
      </c>
      <c r="I25" s="36">
        <v>0.5</v>
      </c>
      <c r="J25" s="36">
        <v>1.4999999999999999E-2</v>
      </c>
      <c r="K25" s="50">
        <f t="shared" si="5"/>
        <v>7.4999999999999997E-3</v>
      </c>
      <c r="L25" s="51"/>
      <c r="M25" s="49"/>
      <c r="N25" s="52">
        <v>4</v>
      </c>
      <c r="O25" s="15">
        <f t="shared" si="3"/>
        <v>8</v>
      </c>
      <c r="P25" s="31">
        <f t="shared" si="4"/>
        <v>1.4999999999999999E-2</v>
      </c>
    </row>
    <row r="26" spans="1:16" s="21" customFormat="1" ht="55.5" customHeight="1" x14ac:dyDescent="0.2">
      <c r="A26" s="57"/>
      <c r="B26" s="33">
        <v>20</v>
      </c>
      <c r="C26" s="39" t="s">
        <v>56</v>
      </c>
      <c r="D26" s="40" t="s">
        <v>57</v>
      </c>
      <c r="E26" s="39">
        <v>22</v>
      </c>
      <c r="F26" s="39"/>
      <c r="G26" s="41">
        <v>7047</v>
      </c>
      <c r="H26" s="39"/>
      <c r="I26" s="39"/>
      <c r="J26" s="39"/>
      <c r="K26" s="42"/>
      <c r="L26" s="13"/>
      <c r="M26" s="15">
        <f t="shared" si="2"/>
        <v>0</v>
      </c>
      <c r="N26" s="15">
        <v>2</v>
      </c>
      <c r="O26" s="15">
        <f t="shared" si="3"/>
        <v>44</v>
      </c>
      <c r="P26" s="31">
        <f t="shared" si="4"/>
        <v>0</v>
      </c>
    </row>
    <row r="27" spans="1:16" s="21" customFormat="1" ht="25.5" customHeight="1" x14ac:dyDescent="0.2">
      <c r="A27" s="58"/>
      <c r="B27" s="92" t="s">
        <v>58</v>
      </c>
      <c r="C27" s="93"/>
      <c r="D27" s="93"/>
      <c r="E27" s="93"/>
      <c r="F27" s="93"/>
      <c r="G27" s="93"/>
      <c r="H27" s="93"/>
      <c r="I27" s="93"/>
      <c r="J27" s="93"/>
      <c r="K27" s="94"/>
      <c r="L27" s="13"/>
      <c r="M27" s="15">
        <f t="shared" si="2"/>
        <v>0</v>
      </c>
      <c r="N27" s="15"/>
      <c r="O27" s="15">
        <f t="shared" si="3"/>
        <v>0</v>
      </c>
      <c r="P27" s="31">
        <f t="shared" si="4"/>
        <v>0</v>
      </c>
    </row>
    <row r="28" spans="1:16" ht="58.5" customHeight="1" x14ac:dyDescent="0.25">
      <c r="A28" s="59"/>
      <c r="B28" s="33">
        <v>21</v>
      </c>
      <c r="C28" s="60" t="s">
        <v>59</v>
      </c>
      <c r="D28" s="61" t="s">
        <v>60</v>
      </c>
      <c r="E28" s="62">
        <v>83</v>
      </c>
      <c r="F28" s="63"/>
      <c r="G28" s="64" t="s">
        <v>61</v>
      </c>
      <c r="H28" s="64"/>
      <c r="I28" s="64"/>
      <c r="J28" s="64"/>
      <c r="K28" s="65"/>
      <c r="L28" s="18"/>
      <c r="M28" s="15">
        <f t="shared" si="2"/>
        <v>0</v>
      </c>
      <c r="N28" s="19"/>
      <c r="O28" s="15">
        <f t="shared" si="3"/>
        <v>0</v>
      </c>
      <c r="P28" s="31">
        <f t="shared" si="4"/>
        <v>0</v>
      </c>
    </row>
    <row r="29" spans="1:16" ht="73.5" customHeight="1" x14ac:dyDescent="0.25">
      <c r="A29" s="59"/>
      <c r="B29" s="33">
        <v>22</v>
      </c>
      <c r="C29" s="60" t="s">
        <v>62</v>
      </c>
      <c r="D29" s="61" t="s">
        <v>63</v>
      </c>
      <c r="E29" s="62">
        <v>68</v>
      </c>
      <c r="F29" s="63"/>
      <c r="G29" s="64" t="s">
        <v>61</v>
      </c>
      <c r="H29" s="64"/>
      <c r="I29" s="64"/>
      <c r="J29" s="64"/>
      <c r="K29" s="65">
        <v>1E-3</v>
      </c>
      <c r="L29" s="18"/>
      <c r="M29" s="15">
        <f t="shared" si="2"/>
        <v>0</v>
      </c>
      <c r="N29" s="19"/>
      <c r="O29" s="15">
        <f t="shared" si="3"/>
        <v>0</v>
      </c>
      <c r="P29" s="31">
        <f t="shared" si="4"/>
        <v>6.8000000000000005E-2</v>
      </c>
    </row>
    <row r="30" spans="1:16" ht="66.75" customHeight="1" x14ac:dyDescent="0.25">
      <c r="A30" s="66"/>
      <c r="B30" s="67">
        <v>23</v>
      </c>
      <c r="C30" s="68" t="s">
        <v>64</v>
      </c>
      <c r="D30" s="68" t="s">
        <v>65</v>
      </c>
      <c r="E30" s="69">
        <v>6</v>
      </c>
      <c r="F30" s="70"/>
      <c r="G30" s="64" t="s">
        <v>61</v>
      </c>
      <c r="H30" s="71"/>
      <c r="I30" s="71"/>
      <c r="J30" s="71"/>
      <c r="K30" s="72"/>
      <c r="L30" s="73"/>
      <c r="M30" s="15">
        <f t="shared" si="2"/>
        <v>0</v>
      </c>
      <c r="N30" s="20"/>
      <c r="O30" s="15">
        <f t="shared" si="3"/>
        <v>0</v>
      </c>
      <c r="P30" s="31">
        <f t="shared" si="4"/>
        <v>0</v>
      </c>
    </row>
    <row r="31" spans="1:16" x14ac:dyDescent="0.25">
      <c r="M31">
        <f>SUM(M7:M30)</f>
        <v>68</v>
      </c>
      <c r="O31">
        <f>SUM(O9:O30)</f>
        <v>83</v>
      </c>
      <c r="P31">
        <f>SUM(P6:P30)</f>
        <v>0.28290454500000006</v>
      </c>
    </row>
  </sheetData>
  <mergeCells count="7">
    <mergeCell ref="A11:A25"/>
    <mergeCell ref="B27:K27"/>
    <mergeCell ref="A1:K1"/>
    <mergeCell ref="B2:K2"/>
    <mergeCell ref="B3:K3"/>
    <mergeCell ref="B5:K5"/>
    <mergeCell ref="B10:K10"/>
  </mergeCells>
  <pageMargins left="0.70866141732283472" right="0.70866141732283472" top="0.74803149606299213" bottom="0.74803149606299213" header="0.31496062992125984" footer="0.31496062992125984"/>
  <pageSetup paperSize="9" scale="55" fitToHeight="0" orientation="portrait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0000004768371604" right="0.70000004768371604" top="0.75" bottom="0.75" header="0.30000001192092901" footer="0.3000000119209290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0000004768371604" right="0.70000004768371604" top="0.75" bottom="0.75" header="0.30000001192092901" footer="0.3000000119209290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cp:revision>1</cp:revision>
  <cp:lastPrinted>2026-06-18T10:42:54Z</cp:lastPrinted>
  <dcterms:modified xsi:type="dcterms:W3CDTF">2026-06-18T10:43:10Z</dcterms:modified>
</cp:coreProperties>
</file>