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R:\100.Старый сервер (Калуга)\!!!СПЕЦИФИКАЦИИ ВСЕ!!!\"/>
    </mc:Choice>
  </mc:AlternateContent>
  <xr:revisionPtr revIDLastSave="0" documentId="13_ncr:1_{BB0B66E1-FB88-43E8-9BCC-824B3AAC414D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Лист1" sheetId="1" r:id="rId1"/>
    <sheet name="Лист2" sheetId="2" r:id="rId2"/>
    <sheet name="Лист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9" i="1" l="1"/>
  <c r="E38" i="1"/>
  <c r="E35" i="1"/>
  <c r="E34" i="1"/>
  <c r="E33" i="1"/>
  <c r="E32" i="1"/>
  <c r="E31" i="1"/>
  <c r="E30" i="1"/>
  <c r="E29" i="1"/>
  <c r="E28" i="1"/>
  <c r="E27" i="1"/>
  <c r="E26" i="1"/>
  <c r="L15" i="1"/>
  <c r="P15" i="1"/>
  <c r="P14" i="1"/>
  <c r="P13" i="1"/>
  <c r="P23" i="1" s="1"/>
  <c r="O12" i="1"/>
  <c r="O11" i="1"/>
  <c r="O23" i="1" s="1"/>
  <c r="N12" i="1"/>
  <c r="N11" i="1"/>
  <c r="L6" i="1"/>
  <c r="L23" i="1" s="1"/>
  <c r="M7" i="1"/>
  <c r="M23" i="1" s="1"/>
  <c r="K23" i="1"/>
  <c r="K17" i="1"/>
  <c r="K18" i="1"/>
  <c r="K19" i="1"/>
  <c r="K12" i="1"/>
  <c r="K20" i="1"/>
  <c r="N23" i="1" l="1"/>
  <c r="K8" i="1"/>
  <c r="K22" i="1" l="1"/>
  <c r="K13" i="1"/>
  <c r="K14" i="1"/>
  <c r="K15" i="1"/>
  <c r="K16" i="1"/>
  <c r="K11" i="1"/>
  <c r="K7" i="1"/>
  <c r="K6" i="1" l="1"/>
</calcChain>
</file>

<file path=xl/sharedStrings.xml><?xml version="1.0" encoding="utf-8"?>
<sst xmlns="http://schemas.openxmlformats.org/spreadsheetml/2006/main" count="115" uniqueCount="75">
  <si>
    <t>№ п/п</t>
  </si>
  <si>
    <t>Наименование</t>
  </si>
  <si>
    <t>Артикул</t>
  </si>
  <si>
    <t>Изображение</t>
  </si>
  <si>
    <t>цвет</t>
  </si>
  <si>
    <t>Длина, м</t>
  </si>
  <si>
    <t>Ширина, м</t>
  </si>
  <si>
    <t>Высота, м</t>
  </si>
  <si>
    <t>Объем, м3</t>
  </si>
  <si>
    <t>Кол-во</t>
  </si>
  <si>
    <t>Цвет, RAL 7047</t>
  </si>
  <si>
    <t>Заглушка К4М6КС</t>
  </si>
  <si>
    <t>Цвет, RAL черный</t>
  </si>
  <si>
    <t>Уголок крепежный 55х55х40</t>
  </si>
  <si>
    <t>0003МП</t>
  </si>
  <si>
    <t>КЧМ6КС</t>
  </si>
  <si>
    <t>ПАНЕЛИ</t>
  </si>
  <si>
    <t>ПЛАСТИК</t>
  </si>
  <si>
    <t>Размер  2,15 х 1,47 х 0,68 м</t>
  </si>
  <si>
    <t>МЕТАЛЛ</t>
  </si>
  <si>
    <t>0207МП</t>
  </si>
  <si>
    <t>Закладная песочницы (ПСР-1.35)</t>
  </si>
  <si>
    <t>Ручка качалки на пружине</t>
  </si>
  <si>
    <t>0029МП</t>
  </si>
  <si>
    <t>Петля мебельная</t>
  </si>
  <si>
    <t>0208МП</t>
  </si>
  <si>
    <t>Цвет, RAL 1023</t>
  </si>
  <si>
    <t>Цвет, RAL 5012</t>
  </si>
  <si>
    <t>Цвет, RAL 1015</t>
  </si>
  <si>
    <t>доска 35х90х500</t>
  </si>
  <si>
    <t>Цвет, RAL 3020</t>
  </si>
  <si>
    <t>0127ДБ</t>
  </si>
  <si>
    <t>ПСР-1.35.Н</t>
  </si>
  <si>
    <t>001847.П.15.0</t>
  </si>
  <si>
    <t>001847.П.15.1</t>
  </si>
  <si>
    <t>Подлокотник песочницы -1.35
411 x 402 x 15</t>
  </si>
  <si>
    <t>001848.П.15.0</t>
  </si>
  <si>
    <t>001849.П.15.0</t>
  </si>
  <si>
    <t>Борт короткий песочницы -1.35
1430 x 150 x 15</t>
  </si>
  <si>
    <t>Борт длинный песочницы -1.35
2140 x 150 x 15</t>
  </si>
  <si>
    <t>001850.П.15.0</t>
  </si>
  <si>
    <t>001850.П.15.1</t>
  </si>
  <si>
    <t xml:space="preserve">Элемент крышки песочницы -1.35
1420 x 350 x 15  </t>
  </si>
  <si>
    <t>Спинка крышки песочницы -1.35
1420 x 350 x 15</t>
  </si>
  <si>
    <t>0232ДБ</t>
  </si>
  <si>
    <t>0233ДБ</t>
  </si>
  <si>
    <t>доска 35х90х2020</t>
  </si>
  <si>
    <t>доска 35х90х1300</t>
  </si>
  <si>
    <t>Заглушка К4М8КС</t>
  </si>
  <si>
    <t>КЧМ8КС</t>
  </si>
  <si>
    <t>Футорка мебельная мет D8 М6х13	48</t>
  </si>
  <si>
    <t>оцинкованный</t>
  </si>
  <si>
    <t>Меб. Болт</t>
  </si>
  <si>
    <t>М8х40</t>
  </si>
  <si>
    <t>М6х70</t>
  </si>
  <si>
    <t>М8х65</t>
  </si>
  <si>
    <t>М8х70</t>
  </si>
  <si>
    <t>шайба</t>
  </si>
  <si>
    <t>М6</t>
  </si>
  <si>
    <t>М8</t>
  </si>
  <si>
    <t>Гайка самоконт.</t>
  </si>
  <si>
    <t>Винт с потайной головкой</t>
  </si>
  <si>
    <t>М6х16</t>
  </si>
  <si>
    <t xml:space="preserve">Футорка мебельная мет </t>
  </si>
  <si>
    <t>D8 М6х13</t>
  </si>
  <si>
    <t>заглушка</t>
  </si>
  <si>
    <t xml:space="preserve">Петля карточная </t>
  </si>
  <si>
    <t>45х200 Zn</t>
  </si>
  <si>
    <t xml:space="preserve">Уголок </t>
  </si>
  <si>
    <t>90гр 55х55х40</t>
  </si>
  <si>
    <t>шт.</t>
  </si>
  <si>
    <t>М8х60</t>
  </si>
  <si>
    <t>М8х80</t>
  </si>
  <si>
    <t>эл. Крепежа.</t>
  </si>
  <si>
    <t>размер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</si>
</sst>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₽_-;\-* #,##0.00\ _₽_-;_-* &quot;-&quot;??\ _₽_-;_-@_-"/>
    <numFmt numFmtId="165" formatCode="0.000"/>
    <numFmt numFmtId="166" formatCode="_-* #,##0.0000\ _₽_-;\-* #,##0.0000\ _₽_-;_-* &quot;-&quot;??\ _₽_-;_-@_-"/>
  </numFmts>
  <fonts count="15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i/>
      <sz val="10"/>
      <color theme="1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4"/>
      <color theme="1"/>
      <name val="Arial"/>
      <family val="2"/>
      <charset val="204"/>
    </font>
    <font>
      <sz val="12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b/>
      <i/>
      <sz val="12"/>
      <color theme="1"/>
      <name val="Arial"/>
      <family val="2"/>
      <charset val="204"/>
    </font>
    <font>
      <b/>
      <i/>
      <sz val="12"/>
      <name val="Arial"/>
      <family val="2"/>
      <charset val="204"/>
    </font>
    <font>
      <sz val="8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7C9"/>
        <bgColor indexed="64"/>
      </patternFill>
    </fill>
    <fill>
      <patternFill patternType="solid">
        <fgColor rgb="FFFF00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7" fillId="0" borderId="0" applyFont="0" applyFill="0" applyBorder="0" applyAlignment="0" applyProtection="0"/>
  </cellStyleXfs>
  <cellXfs count="80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indent="1"/>
    </xf>
    <xf numFmtId="0" fontId="0" fillId="0" borderId="0" xfId="0" applyAlignment="1">
      <alignment horizontal="center" vertical="center"/>
    </xf>
    <xf numFmtId="0" fontId="4" fillId="0" borderId="7" xfId="0" applyFont="1" applyBorder="1"/>
    <xf numFmtId="0" fontId="5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4" fillId="0" borderId="10" xfId="0" applyFont="1" applyBorder="1"/>
    <xf numFmtId="166" fontId="0" fillId="0" borderId="0" xfId="1" applyNumberFormat="1" applyFont="1" applyAlignment="1"/>
    <xf numFmtId="0" fontId="8" fillId="2" borderId="0" xfId="0" applyFont="1" applyFill="1" applyAlignment="1">
      <alignment horizontal="center" vertical="center" textRotation="90" wrapText="1"/>
    </xf>
    <xf numFmtId="0" fontId="4" fillId="0" borderId="0" xfId="0" applyFont="1"/>
    <xf numFmtId="0" fontId="11" fillId="0" borderId="11" xfId="0" applyFont="1" applyBorder="1" applyAlignment="1">
      <alignment horizontal="center" vertical="center" textRotation="90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 indent="1"/>
    </xf>
    <xf numFmtId="0" fontId="5" fillId="0" borderId="1" xfId="0" applyFont="1" applyBorder="1" applyAlignment="1">
      <alignment horizontal="center" vertical="center"/>
    </xf>
    <xf numFmtId="166" fontId="10" fillId="0" borderId="1" xfId="1" applyNumberFormat="1" applyFont="1" applyBorder="1" applyAlignment="1">
      <alignment horizontal="center" vertical="center" wrapText="1"/>
    </xf>
    <xf numFmtId="165" fontId="10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5" fillId="0" borderId="2" xfId="0" applyFont="1" applyBorder="1"/>
    <xf numFmtId="0" fontId="11" fillId="0" borderId="13" xfId="0" applyFont="1" applyBorder="1" applyAlignment="1">
      <alignment horizontal="center" vertical="center" textRotation="90" wrapText="1"/>
    </xf>
    <xf numFmtId="0" fontId="9" fillId="5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49" fontId="5" fillId="0" borderId="17" xfId="0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 wrapText="1"/>
    </xf>
    <xf numFmtId="0" fontId="13" fillId="3" borderId="18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indent="1"/>
    </xf>
    <xf numFmtId="0" fontId="10" fillId="0" borderId="20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2" fillId="0" borderId="3" xfId="0" applyFont="1" applyBorder="1" applyAlignment="1">
      <alignment horizontal="left" indent="1"/>
    </xf>
    <xf numFmtId="0" fontId="0" fillId="0" borderId="3" xfId="0" applyBorder="1" applyAlignment="1">
      <alignment horizontal="center" vertical="center"/>
    </xf>
    <xf numFmtId="0" fontId="0" fillId="0" borderId="21" xfId="0" applyBorder="1"/>
    <xf numFmtId="0" fontId="0" fillId="0" borderId="22" xfId="0" applyBorder="1" applyAlignment="1">
      <alignment horizontal="center" vertical="center"/>
    </xf>
    <xf numFmtId="0" fontId="0" fillId="0" borderId="23" xfId="0" applyBorder="1"/>
    <xf numFmtId="0" fontId="0" fillId="0" borderId="5" xfId="0" applyBorder="1" applyAlignment="1">
      <alignment horizontal="center" vertical="center"/>
    </xf>
    <xf numFmtId="0" fontId="2" fillId="0" borderId="4" xfId="0" applyFont="1" applyBorder="1" applyAlignment="1">
      <alignment horizontal="left" indent="1"/>
    </xf>
    <xf numFmtId="0" fontId="0" fillId="0" borderId="4" xfId="0" applyBorder="1" applyAlignment="1">
      <alignment horizontal="center" vertical="center"/>
    </xf>
    <xf numFmtId="0" fontId="0" fillId="0" borderId="24" xfId="0" applyBorder="1"/>
    <xf numFmtId="0" fontId="0" fillId="0" borderId="25" xfId="0" applyBorder="1" applyAlignment="1">
      <alignment horizontal="center" wrapText="1"/>
    </xf>
    <xf numFmtId="0" fontId="2" fillId="0" borderId="26" xfId="0" applyFont="1" applyBorder="1" applyAlignment="1">
      <alignment horizontal="left" indent="1"/>
    </xf>
    <xf numFmtId="0" fontId="0" fillId="0" borderId="26" xfId="0" applyBorder="1" applyAlignment="1">
      <alignment horizontal="center" vertical="center"/>
    </xf>
    <xf numFmtId="0" fontId="0" fillId="0" borderId="27" xfId="0" applyBorder="1"/>
    <xf numFmtId="0" fontId="0" fillId="0" borderId="25" xfId="0" applyBorder="1" applyAlignment="1">
      <alignment wrapText="1"/>
    </xf>
    <xf numFmtId="0" fontId="0" fillId="0" borderId="25" xfId="0" applyBorder="1"/>
    <xf numFmtId="0" fontId="0" fillId="0" borderId="25" xfId="0" applyBorder="1" applyAlignment="1">
      <alignment horizontal="center" vertical="center"/>
    </xf>
    <xf numFmtId="0" fontId="0" fillId="0" borderId="0" xfId="0" applyBorder="1"/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colors>
    <mruColors>
      <color rgb="FFFFF7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71563</xdr:colOff>
      <xdr:row>21</xdr:row>
      <xdr:rowOff>0</xdr:rowOff>
    </xdr:from>
    <xdr:to>
      <xdr:col>5</xdr:col>
      <xdr:colOff>1681025</xdr:colOff>
      <xdr:row>21</xdr:row>
      <xdr:rowOff>0</xdr:rowOff>
    </xdr:to>
    <xdr:pic>
      <xdr:nvPicPr>
        <xdr:cNvPr id="7" name="Picture 10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 rot="16200000">
          <a:off x="5777991" y="20582020"/>
          <a:ext cx="483605" cy="160946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571500</xdr:colOff>
      <xdr:row>21</xdr:row>
      <xdr:rowOff>89647</xdr:rowOff>
    </xdr:from>
    <xdr:to>
      <xdr:col>5</xdr:col>
      <xdr:colOff>1171163</xdr:colOff>
      <xdr:row>21</xdr:row>
      <xdr:rowOff>694764</xdr:rowOff>
    </xdr:to>
    <xdr:pic>
      <xdr:nvPicPr>
        <xdr:cNvPr id="36" name="Picture 2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rcRect/>
        <a:stretch>
          <a:fillRect/>
        </a:stretch>
      </xdr:blipFill>
      <xdr:spPr bwMode="auto">
        <a:xfrm>
          <a:off x="5715000" y="39713647"/>
          <a:ext cx="599663" cy="60511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0</xdr:colOff>
      <xdr:row>10</xdr:row>
      <xdr:rowOff>0</xdr:rowOff>
    </xdr:from>
    <xdr:to>
      <xdr:col>11</xdr:col>
      <xdr:colOff>1749</xdr:colOff>
      <xdr:row>10</xdr:row>
      <xdr:rowOff>628187</xdr:rowOff>
    </xdr:to>
    <xdr:pic>
      <xdr:nvPicPr>
        <xdr:cNvPr id="20" name="Picture 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4373038" y="1476375"/>
          <a:ext cx="2614" cy="61086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11</xdr:col>
      <xdr:colOff>1749</xdr:colOff>
      <xdr:row>5</xdr:row>
      <xdr:rowOff>233951</xdr:rowOff>
    </xdr:to>
    <xdr:pic>
      <xdr:nvPicPr>
        <xdr:cNvPr id="32" name="Picture 9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7184571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0</xdr:colOff>
      <xdr:row>6</xdr:row>
      <xdr:rowOff>0</xdr:rowOff>
    </xdr:from>
    <xdr:to>
      <xdr:col>11</xdr:col>
      <xdr:colOff>1749</xdr:colOff>
      <xdr:row>6</xdr:row>
      <xdr:rowOff>233951</xdr:rowOff>
    </xdr:to>
    <xdr:pic>
      <xdr:nvPicPr>
        <xdr:cNvPr id="33" name="Picture 9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6449786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0</xdr:colOff>
      <xdr:row>7</xdr:row>
      <xdr:rowOff>0</xdr:rowOff>
    </xdr:from>
    <xdr:to>
      <xdr:col>11</xdr:col>
      <xdr:colOff>1749</xdr:colOff>
      <xdr:row>7</xdr:row>
      <xdr:rowOff>233951</xdr:rowOff>
    </xdr:to>
    <xdr:pic>
      <xdr:nvPicPr>
        <xdr:cNvPr id="34" name="Picture 9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6449786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0</xdr:colOff>
      <xdr:row>10</xdr:row>
      <xdr:rowOff>0</xdr:rowOff>
    </xdr:from>
    <xdr:to>
      <xdr:col>11</xdr:col>
      <xdr:colOff>1749</xdr:colOff>
      <xdr:row>10</xdr:row>
      <xdr:rowOff>624476</xdr:rowOff>
    </xdr:to>
    <xdr:pic>
      <xdr:nvPicPr>
        <xdr:cNvPr id="47" name="Picture 9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7184571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0</xdr:colOff>
      <xdr:row>6</xdr:row>
      <xdr:rowOff>0</xdr:rowOff>
    </xdr:from>
    <xdr:to>
      <xdr:col>11</xdr:col>
      <xdr:colOff>1749</xdr:colOff>
      <xdr:row>6</xdr:row>
      <xdr:rowOff>233951</xdr:rowOff>
    </xdr:to>
    <xdr:pic>
      <xdr:nvPicPr>
        <xdr:cNvPr id="29" name="Picture 9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6313714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0</xdr:colOff>
      <xdr:row>7</xdr:row>
      <xdr:rowOff>0</xdr:rowOff>
    </xdr:from>
    <xdr:to>
      <xdr:col>11</xdr:col>
      <xdr:colOff>1749</xdr:colOff>
      <xdr:row>7</xdr:row>
      <xdr:rowOff>233951</xdr:rowOff>
    </xdr:to>
    <xdr:pic>
      <xdr:nvPicPr>
        <xdr:cNvPr id="30" name="Picture 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6313714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0</xdr:colOff>
      <xdr:row>10</xdr:row>
      <xdr:rowOff>0</xdr:rowOff>
    </xdr:from>
    <xdr:to>
      <xdr:col>11</xdr:col>
      <xdr:colOff>1749</xdr:colOff>
      <xdr:row>10</xdr:row>
      <xdr:rowOff>237662</xdr:rowOff>
    </xdr:to>
    <xdr:pic>
      <xdr:nvPicPr>
        <xdr:cNvPr id="31" name="Picture 9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6313714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0</xdr:colOff>
      <xdr:row>10</xdr:row>
      <xdr:rowOff>0</xdr:rowOff>
    </xdr:from>
    <xdr:to>
      <xdr:col>11</xdr:col>
      <xdr:colOff>1749</xdr:colOff>
      <xdr:row>10</xdr:row>
      <xdr:rowOff>209087</xdr:rowOff>
    </xdr:to>
    <xdr:pic>
      <xdr:nvPicPr>
        <xdr:cNvPr id="50" name="Picture 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6313714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0</xdr:colOff>
      <xdr:row>10</xdr:row>
      <xdr:rowOff>0</xdr:rowOff>
    </xdr:from>
    <xdr:to>
      <xdr:col>11</xdr:col>
      <xdr:colOff>1749</xdr:colOff>
      <xdr:row>10</xdr:row>
      <xdr:rowOff>233951</xdr:rowOff>
    </xdr:to>
    <xdr:pic>
      <xdr:nvPicPr>
        <xdr:cNvPr id="52" name="Picture 9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6313714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1749</xdr:colOff>
      <xdr:row>12</xdr:row>
      <xdr:rowOff>233951</xdr:rowOff>
    </xdr:to>
    <xdr:pic>
      <xdr:nvPicPr>
        <xdr:cNvPr id="55" name="Picture 9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6313714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0</xdr:colOff>
      <xdr:row>13</xdr:row>
      <xdr:rowOff>0</xdr:rowOff>
    </xdr:from>
    <xdr:to>
      <xdr:col>11</xdr:col>
      <xdr:colOff>1749</xdr:colOff>
      <xdr:row>13</xdr:row>
      <xdr:rowOff>233951</xdr:rowOff>
    </xdr:to>
    <xdr:pic>
      <xdr:nvPicPr>
        <xdr:cNvPr id="56" name="Picture 9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6313714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0</xdr:colOff>
      <xdr:row>14</xdr:row>
      <xdr:rowOff>0</xdr:rowOff>
    </xdr:from>
    <xdr:to>
      <xdr:col>11</xdr:col>
      <xdr:colOff>1749</xdr:colOff>
      <xdr:row>14</xdr:row>
      <xdr:rowOff>233951</xdr:rowOff>
    </xdr:to>
    <xdr:pic>
      <xdr:nvPicPr>
        <xdr:cNvPr id="57" name="Picture 9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6313714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0</xdr:colOff>
      <xdr:row>15</xdr:row>
      <xdr:rowOff>0</xdr:rowOff>
    </xdr:from>
    <xdr:to>
      <xdr:col>11</xdr:col>
      <xdr:colOff>1749</xdr:colOff>
      <xdr:row>15</xdr:row>
      <xdr:rowOff>233951</xdr:rowOff>
    </xdr:to>
    <xdr:pic>
      <xdr:nvPicPr>
        <xdr:cNvPr id="58" name="Picture 9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6313714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0</xdr:colOff>
      <xdr:row>19</xdr:row>
      <xdr:rowOff>0</xdr:rowOff>
    </xdr:from>
    <xdr:to>
      <xdr:col>11</xdr:col>
      <xdr:colOff>1749</xdr:colOff>
      <xdr:row>19</xdr:row>
      <xdr:rowOff>233951</xdr:rowOff>
    </xdr:to>
    <xdr:pic>
      <xdr:nvPicPr>
        <xdr:cNvPr id="59" name="Picture 9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6313714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0</xdr:colOff>
      <xdr:row>19</xdr:row>
      <xdr:rowOff>0</xdr:rowOff>
    </xdr:from>
    <xdr:to>
      <xdr:col>11</xdr:col>
      <xdr:colOff>1749</xdr:colOff>
      <xdr:row>19</xdr:row>
      <xdr:rowOff>233951</xdr:rowOff>
    </xdr:to>
    <xdr:pic>
      <xdr:nvPicPr>
        <xdr:cNvPr id="60" name="Picture 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6313714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0</xdr:colOff>
      <xdr:row>19</xdr:row>
      <xdr:rowOff>0</xdr:rowOff>
    </xdr:from>
    <xdr:to>
      <xdr:col>11</xdr:col>
      <xdr:colOff>1749</xdr:colOff>
      <xdr:row>19</xdr:row>
      <xdr:rowOff>233951</xdr:rowOff>
    </xdr:to>
    <xdr:pic>
      <xdr:nvPicPr>
        <xdr:cNvPr id="61" name="Picture 9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6313714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0</xdr:colOff>
      <xdr:row>19</xdr:row>
      <xdr:rowOff>0</xdr:rowOff>
    </xdr:from>
    <xdr:to>
      <xdr:col>11</xdr:col>
      <xdr:colOff>1749</xdr:colOff>
      <xdr:row>19</xdr:row>
      <xdr:rowOff>233951</xdr:rowOff>
    </xdr:to>
    <xdr:pic>
      <xdr:nvPicPr>
        <xdr:cNvPr id="62" name="Picture 9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6313714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0</xdr:colOff>
      <xdr:row>19</xdr:row>
      <xdr:rowOff>0</xdr:rowOff>
    </xdr:from>
    <xdr:to>
      <xdr:col>11</xdr:col>
      <xdr:colOff>1749</xdr:colOff>
      <xdr:row>19</xdr:row>
      <xdr:rowOff>233951</xdr:rowOff>
    </xdr:to>
    <xdr:pic>
      <xdr:nvPicPr>
        <xdr:cNvPr id="63" name="Picture 9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6313714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0</xdr:colOff>
      <xdr:row>19</xdr:row>
      <xdr:rowOff>0</xdr:rowOff>
    </xdr:from>
    <xdr:to>
      <xdr:col>11</xdr:col>
      <xdr:colOff>1749</xdr:colOff>
      <xdr:row>19</xdr:row>
      <xdr:rowOff>233951</xdr:rowOff>
    </xdr:to>
    <xdr:pic>
      <xdr:nvPicPr>
        <xdr:cNvPr id="64" name="Picture 9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6313714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1749</xdr:colOff>
      <xdr:row>21</xdr:row>
      <xdr:rowOff>233951</xdr:rowOff>
    </xdr:to>
    <xdr:pic>
      <xdr:nvPicPr>
        <xdr:cNvPr id="65" name="Picture 9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6313714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1749</xdr:colOff>
      <xdr:row>21</xdr:row>
      <xdr:rowOff>233951</xdr:rowOff>
    </xdr:to>
    <xdr:pic>
      <xdr:nvPicPr>
        <xdr:cNvPr id="66" name="Picture 9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6313714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1749</xdr:colOff>
      <xdr:row>21</xdr:row>
      <xdr:rowOff>233951</xdr:rowOff>
    </xdr:to>
    <xdr:pic>
      <xdr:nvPicPr>
        <xdr:cNvPr id="67" name="Picture 9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6313714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1749</xdr:colOff>
      <xdr:row>21</xdr:row>
      <xdr:rowOff>233951</xdr:rowOff>
    </xdr:to>
    <xdr:pic>
      <xdr:nvPicPr>
        <xdr:cNvPr id="68" name="Picture 9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6313714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1749</xdr:colOff>
      <xdr:row>21</xdr:row>
      <xdr:rowOff>233951</xdr:rowOff>
    </xdr:to>
    <xdr:pic>
      <xdr:nvPicPr>
        <xdr:cNvPr id="69" name="Picture 9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6313714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1749</xdr:colOff>
      <xdr:row>22</xdr:row>
      <xdr:rowOff>233951</xdr:rowOff>
    </xdr:to>
    <xdr:pic>
      <xdr:nvPicPr>
        <xdr:cNvPr id="70" name="Picture 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6313714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1749</xdr:colOff>
      <xdr:row>22</xdr:row>
      <xdr:rowOff>233951</xdr:rowOff>
    </xdr:to>
    <xdr:pic>
      <xdr:nvPicPr>
        <xdr:cNvPr id="71" name="Picture 9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6313714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398318</xdr:colOff>
      <xdr:row>19</xdr:row>
      <xdr:rowOff>86591</xdr:rowOff>
    </xdr:from>
    <xdr:to>
      <xdr:col>5</xdr:col>
      <xdr:colOff>1209058</xdr:colOff>
      <xdr:row>19</xdr:row>
      <xdr:rowOff>1160318</xdr:rowOff>
    </xdr:to>
    <xdr:pic>
      <xdr:nvPicPr>
        <xdr:cNvPr id="76" name="Picture 9">
          <a:extLst>
            <a:ext uri="{FF2B5EF4-FFF2-40B4-BE49-F238E27FC236}">
              <a16:creationId xmlns:a16="http://schemas.microsoft.com/office/drawing/2014/main" id="{6871FDA7-B37B-47EF-8F7B-2B20B18B6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 bwMode="auto">
        <a:xfrm>
          <a:off x="7627793" y="24022916"/>
          <a:ext cx="810740" cy="107372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719741</xdr:colOff>
      <xdr:row>2</xdr:row>
      <xdr:rowOff>519545</xdr:rowOff>
    </xdr:from>
    <xdr:to>
      <xdr:col>10</xdr:col>
      <xdr:colOff>991466</xdr:colOff>
      <xdr:row>2</xdr:row>
      <xdr:rowOff>3990108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545B30E8-A0B7-4D8C-95D1-92ACF413C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226923" y="1021772"/>
          <a:ext cx="6177225" cy="3470563"/>
        </a:xfrm>
        <a:prstGeom prst="rect">
          <a:avLst/>
        </a:prstGeom>
      </xdr:spPr>
    </xdr:pic>
    <xdr:clientData/>
  </xdr:twoCellAnchor>
  <xdr:twoCellAnchor editAs="oneCell">
    <xdr:from>
      <xdr:col>1</xdr:col>
      <xdr:colOff>34637</xdr:colOff>
      <xdr:row>2</xdr:row>
      <xdr:rowOff>242456</xdr:rowOff>
    </xdr:from>
    <xdr:to>
      <xdr:col>5</xdr:col>
      <xdr:colOff>744683</xdr:colOff>
      <xdr:row>2</xdr:row>
      <xdr:rowOff>4094104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7A7CB34D-F2E3-4837-A4CB-9CBEFF066A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4637" y="744683"/>
          <a:ext cx="6217228" cy="3851648"/>
        </a:xfrm>
        <a:prstGeom prst="rect">
          <a:avLst/>
        </a:prstGeom>
      </xdr:spPr>
    </xdr:pic>
    <xdr:clientData/>
  </xdr:twoCellAnchor>
  <xdr:twoCellAnchor editAs="oneCell">
    <xdr:from>
      <xdr:col>5</xdr:col>
      <xdr:colOff>207818</xdr:colOff>
      <xdr:row>10</xdr:row>
      <xdr:rowOff>173181</xdr:rowOff>
    </xdr:from>
    <xdr:to>
      <xdr:col>5</xdr:col>
      <xdr:colOff>1398443</xdr:colOff>
      <xdr:row>10</xdr:row>
      <xdr:rowOff>1316181</xdr:rowOff>
    </xdr:to>
    <xdr:pic>
      <xdr:nvPicPr>
        <xdr:cNvPr id="46" name="Рисунок 45">
          <a:extLst>
            <a:ext uri="{FF2B5EF4-FFF2-40B4-BE49-F238E27FC236}">
              <a16:creationId xmlns:a16="http://schemas.microsoft.com/office/drawing/2014/main" id="{8F4B6419-72EC-491F-898A-DB8385494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88727" y="8035636"/>
          <a:ext cx="1190625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277091</xdr:colOff>
      <xdr:row>12</xdr:row>
      <xdr:rowOff>190500</xdr:rowOff>
    </xdr:from>
    <xdr:to>
      <xdr:col>5</xdr:col>
      <xdr:colOff>1601066</xdr:colOff>
      <xdr:row>12</xdr:row>
      <xdr:rowOff>1333500</xdr:rowOff>
    </xdr:to>
    <xdr:pic>
      <xdr:nvPicPr>
        <xdr:cNvPr id="48" name="Рисунок 47">
          <a:extLst>
            <a:ext uri="{FF2B5EF4-FFF2-40B4-BE49-F238E27FC236}">
              <a16:creationId xmlns:a16="http://schemas.microsoft.com/office/drawing/2014/main" id="{8DA59C99-29AE-4FFF-B389-9D21A8ED8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84273" y="9421091"/>
          <a:ext cx="1323975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311727</xdr:colOff>
      <xdr:row>13</xdr:row>
      <xdr:rowOff>207819</xdr:rowOff>
    </xdr:from>
    <xdr:to>
      <xdr:col>5</xdr:col>
      <xdr:colOff>1569027</xdr:colOff>
      <xdr:row>13</xdr:row>
      <xdr:rowOff>1350819</xdr:rowOff>
    </xdr:to>
    <xdr:pic>
      <xdr:nvPicPr>
        <xdr:cNvPr id="49" name="Рисунок 48">
          <a:extLst>
            <a:ext uri="{FF2B5EF4-FFF2-40B4-BE49-F238E27FC236}">
              <a16:creationId xmlns:a16="http://schemas.microsoft.com/office/drawing/2014/main" id="{640E6BD7-9E78-4E5B-B0DE-D44F54B85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8909" y="10823864"/>
          <a:ext cx="12573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329046</xdr:colOff>
      <xdr:row>14</xdr:row>
      <xdr:rowOff>86591</xdr:rowOff>
    </xdr:from>
    <xdr:to>
      <xdr:col>5</xdr:col>
      <xdr:colOff>1510146</xdr:colOff>
      <xdr:row>14</xdr:row>
      <xdr:rowOff>1229591</xdr:rowOff>
    </xdr:to>
    <xdr:pic>
      <xdr:nvPicPr>
        <xdr:cNvPr id="51" name="Рисунок 50">
          <a:extLst>
            <a:ext uri="{FF2B5EF4-FFF2-40B4-BE49-F238E27FC236}">
              <a16:creationId xmlns:a16="http://schemas.microsoft.com/office/drawing/2014/main" id="{CCBB31AA-E965-419D-BF7D-88BEAD334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6228" y="12157364"/>
          <a:ext cx="11811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381000</xdr:colOff>
      <xdr:row>15</xdr:row>
      <xdr:rowOff>138545</xdr:rowOff>
    </xdr:from>
    <xdr:to>
      <xdr:col>5</xdr:col>
      <xdr:colOff>1647825</xdr:colOff>
      <xdr:row>15</xdr:row>
      <xdr:rowOff>1281545</xdr:rowOff>
    </xdr:to>
    <xdr:pic>
      <xdr:nvPicPr>
        <xdr:cNvPr id="75" name="Рисунок 74">
          <a:extLst>
            <a:ext uri="{FF2B5EF4-FFF2-40B4-BE49-F238E27FC236}">
              <a16:creationId xmlns:a16="http://schemas.microsoft.com/office/drawing/2014/main" id="{4C46E478-286D-4407-AE5A-783CA2271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88182" y="13646727"/>
          <a:ext cx="1266825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417369</xdr:colOff>
      <xdr:row>6</xdr:row>
      <xdr:rowOff>67541</xdr:rowOff>
    </xdr:from>
    <xdr:to>
      <xdr:col>5</xdr:col>
      <xdr:colOff>1563833</xdr:colOff>
      <xdr:row>6</xdr:row>
      <xdr:rowOff>905741</xdr:rowOff>
    </xdr:to>
    <xdr:pic>
      <xdr:nvPicPr>
        <xdr:cNvPr id="80" name="Рисунок 79">
          <a:extLst>
            <a:ext uri="{FF2B5EF4-FFF2-40B4-BE49-F238E27FC236}">
              <a16:creationId xmlns:a16="http://schemas.microsoft.com/office/drawing/2014/main" id="{90F0FFA4-DD49-41CC-A4F5-2EE453EEF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6078683" y="6511636"/>
          <a:ext cx="838200" cy="1146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374938</xdr:colOff>
      <xdr:row>5</xdr:row>
      <xdr:rowOff>75335</xdr:rowOff>
    </xdr:from>
    <xdr:to>
      <xdr:col>5</xdr:col>
      <xdr:colOff>1521401</xdr:colOff>
      <xdr:row>5</xdr:row>
      <xdr:rowOff>932585</xdr:rowOff>
    </xdr:to>
    <xdr:pic>
      <xdr:nvPicPr>
        <xdr:cNvPr id="81" name="Рисунок 80">
          <a:extLst>
            <a:ext uri="{FF2B5EF4-FFF2-40B4-BE49-F238E27FC236}">
              <a16:creationId xmlns:a16="http://schemas.microsoft.com/office/drawing/2014/main" id="{398568D4-9872-4BA5-9A08-CE2D4C9C24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6026727" y="6286501"/>
          <a:ext cx="857250" cy="11464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242455</xdr:colOff>
      <xdr:row>16</xdr:row>
      <xdr:rowOff>329045</xdr:rowOff>
    </xdr:from>
    <xdr:to>
      <xdr:col>5</xdr:col>
      <xdr:colOff>1423555</xdr:colOff>
      <xdr:row>16</xdr:row>
      <xdr:rowOff>969818</xdr:rowOff>
    </xdr:to>
    <xdr:pic>
      <xdr:nvPicPr>
        <xdr:cNvPr id="83" name="Рисунок 82">
          <a:extLst>
            <a:ext uri="{FF2B5EF4-FFF2-40B4-BE49-F238E27FC236}">
              <a16:creationId xmlns:a16="http://schemas.microsoft.com/office/drawing/2014/main" id="{9294AA13-5666-4DE7-A82D-6132C9C92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9637" y="17248909"/>
          <a:ext cx="1181100" cy="6407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311728</xdr:colOff>
      <xdr:row>11</xdr:row>
      <xdr:rowOff>190500</xdr:rowOff>
    </xdr:from>
    <xdr:to>
      <xdr:col>5</xdr:col>
      <xdr:colOff>1627910</xdr:colOff>
      <xdr:row>11</xdr:row>
      <xdr:rowOff>1333500</xdr:rowOff>
    </xdr:to>
    <xdr:pic>
      <xdr:nvPicPr>
        <xdr:cNvPr id="43" name="Рисунок 42">
          <a:extLst>
            <a:ext uri="{FF2B5EF4-FFF2-40B4-BE49-F238E27FC236}">
              <a16:creationId xmlns:a16="http://schemas.microsoft.com/office/drawing/2014/main" id="{18561856-1F50-4D1D-95C1-715CD4F0F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5818910" y="11516591"/>
          <a:ext cx="1316182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173182</xdr:colOff>
      <xdr:row>17</xdr:row>
      <xdr:rowOff>311728</xdr:rowOff>
    </xdr:from>
    <xdr:to>
      <xdr:col>5</xdr:col>
      <xdr:colOff>1905000</xdr:colOff>
      <xdr:row>17</xdr:row>
      <xdr:rowOff>865910</xdr:rowOff>
    </xdr:to>
    <xdr:pic>
      <xdr:nvPicPr>
        <xdr:cNvPr id="44" name="Рисунок 43">
          <a:extLst>
            <a:ext uri="{FF2B5EF4-FFF2-40B4-BE49-F238E27FC236}">
              <a16:creationId xmlns:a16="http://schemas.microsoft.com/office/drawing/2014/main" id="{43EC7090-3457-46A8-A06F-7F969631D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80364" y="19915910"/>
          <a:ext cx="1731818" cy="5541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155863</xdr:colOff>
      <xdr:row>18</xdr:row>
      <xdr:rowOff>277091</xdr:rowOff>
    </xdr:from>
    <xdr:to>
      <xdr:col>5</xdr:col>
      <xdr:colOff>1974272</xdr:colOff>
      <xdr:row>18</xdr:row>
      <xdr:rowOff>917864</xdr:rowOff>
    </xdr:to>
    <xdr:pic>
      <xdr:nvPicPr>
        <xdr:cNvPr id="45" name="Рисунок 44">
          <a:extLst>
            <a:ext uri="{FF2B5EF4-FFF2-40B4-BE49-F238E27FC236}">
              <a16:creationId xmlns:a16="http://schemas.microsoft.com/office/drawing/2014/main" id="{0DD0126B-E193-4628-8B24-EFF5BC0A5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3045" y="21197455"/>
          <a:ext cx="1818409" cy="6407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571500</xdr:colOff>
      <xdr:row>22</xdr:row>
      <xdr:rowOff>89647</xdr:rowOff>
    </xdr:from>
    <xdr:ext cx="831273" cy="838834"/>
    <xdr:pic>
      <xdr:nvPicPr>
        <xdr:cNvPr id="53" name="Picture 2">
          <a:extLst>
            <a:ext uri="{FF2B5EF4-FFF2-40B4-BE49-F238E27FC236}">
              <a16:creationId xmlns:a16="http://schemas.microsoft.com/office/drawing/2014/main" id="{A7A0CA18-4705-4D3F-A9EF-4E887AA84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rcRect/>
        <a:stretch>
          <a:fillRect/>
        </a:stretch>
      </xdr:blipFill>
      <xdr:spPr bwMode="auto">
        <a:xfrm>
          <a:off x="6078682" y="24664147"/>
          <a:ext cx="831273" cy="83883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twoCellAnchor editAs="oneCell">
    <xdr:from>
      <xdr:col>5</xdr:col>
      <xdr:colOff>155863</xdr:colOff>
      <xdr:row>7</xdr:row>
      <xdr:rowOff>138545</xdr:rowOff>
    </xdr:from>
    <xdr:to>
      <xdr:col>5</xdr:col>
      <xdr:colOff>1524000</xdr:colOff>
      <xdr:row>7</xdr:row>
      <xdr:rowOff>1125680</xdr:rowOff>
    </xdr:to>
    <xdr:pic>
      <xdr:nvPicPr>
        <xdr:cNvPr id="54" name="Рисунок 53">
          <a:extLst>
            <a:ext uri="{FF2B5EF4-FFF2-40B4-BE49-F238E27FC236}">
              <a16:creationId xmlns:a16="http://schemas.microsoft.com/office/drawing/2014/main" id="{BCDE3BAB-FB42-42E9-8539-8246E1CBA6DA}"/>
            </a:ext>
          </a:extLst>
        </xdr:cNvPr>
        <xdr:cNvPicPr/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63045" y="8485909"/>
          <a:ext cx="1368137" cy="987135"/>
        </a:xfrm>
        <a:prstGeom prst="rect">
          <a:avLst/>
        </a:prstGeom>
      </xdr:spPr>
    </xdr:pic>
    <xdr:clientData/>
  </xdr:twoCellAnchor>
  <xdr:twoCellAnchor editAs="oneCell">
    <xdr:from>
      <xdr:col>5</xdr:col>
      <xdr:colOff>536864</xdr:colOff>
      <xdr:row>8</xdr:row>
      <xdr:rowOff>225137</xdr:rowOff>
    </xdr:from>
    <xdr:to>
      <xdr:col>5</xdr:col>
      <xdr:colOff>1415069</xdr:colOff>
      <xdr:row>8</xdr:row>
      <xdr:rowOff>1084927</xdr:rowOff>
    </xdr:to>
    <xdr:pic>
      <xdr:nvPicPr>
        <xdr:cNvPr id="72" name="Рисунок 71">
          <a:extLst>
            <a:ext uri="{FF2B5EF4-FFF2-40B4-BE49-F238E27FC236}">
              <a16:creationId xmlns:a16="http://schemas.microsoft.com/office/drawing/2014/main" id="{F4E5611B-177D-486B-B5A3-8DF175A2A846}"/>
            </a:ext>
          </a:extLst>
        </xdr:cNvPr>
        <xdr:cNvPicPr/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4046" y="9888682"/>
          <a:ext cx="878205" cy="85979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3"/>
  <sheetViews>
    <sheetView tabSelected="1" topLeftCell="B3" zoomScale="90" zoomScaleNormal="90" workbookViewId="0">
      <selection activeCell="O13" sqref="O13"/>
    </sheetView>
  </sheetViews>
  <sheetFormatPr defaultRowHeight="15" x14ac:dyDescent="0.25"/>
  <cols>
    <col min="1" max="1" width="6.28515625" hidden="1" customWidth="1"/>
    <col min="2" max="2" width="7.7109375" style="2" customWidth="1"/>
    <col min="3" max="3" width="16.28515625" customWidth="1"/>
    <col min="4" max="4" width="43.85546875" style="3" customWidth="1"/>
    <col min="5" max="5" width="14.5703125" style="4" customWidth="1"/>
    <col min="6" max="6" width="30.85546875" customWidth="1"/>
    <col min="7" max="7" width="24.140625" customWidth="1"/>
    <col min="8" max="8" width="10.140625" customWidth="1"/>
    <col min="9" max="10" width="11.7109375" customWidth="1"/>
    <col min="11" max="11" width="15.140625" style="10" customWidth="1"/>
  </cols>
  <sheetData>
    <row r="1" spans="1:17" ht="21" x14ac:dyDescent="0.25">
      <c r="A1" s="49" t="s">
        <v>32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17" ht="18.75" customHeight="1" thickBot="1" x14ac:dyDescent="0.3">
      <c r="A2" s="6"/>
      <c r="B2" s="54" t="s">
        <v>18</v>
      </c>
      <c r="C2" s="54"/>
      <c r="D2" s="54"/>
      <c r="E2" s="54"/>
      <c r="F2" s="54"/>
      <c r="G2" s="54"/>
      <c r="H2" s="54"/>
      <c r="I2" s="54"/>
      <c r="J2" s="54"/>
      <c r="K2" s="54"/>
    </row>
    <row r="3" spans="1:17" ht="372" customHeight="1" thickBot="1" x14ac:dyDescent="0.3">
      <c r="A3" s="1"/>
      <c r="B3" s="51"/>
      <c r="C3" s="52"/>
      <c r="D3" s="52"/>
      <c r="E3" s="52"/>
      <c r="F3" s="52"/>
      <c r="G3" s="52"/>
      <c r="H3" s="52"/>
      <c r="I3" s="52"/>
      <c r="J3" s="52"/>
      <c r="K3" s="53"/>
    </row>
    <row r="4" spans="1:17" ht="69" customHeight="1" thickBot="1" x14ac:dyDescent="0.3">
      <c r="A4" s="9"/>
      <c r="B4" s="19" t="s">
        <v>0</v>
      </c>
      <c r="C4" s="19" t="s">
        <v>2</v>
      </c>
      <c r="D4" s="21" t="s">
        <v>1</v>
      </c>
      <c r="E4" s="19" t="s">
        <v>9</v>
      </c>
      <c r="F4" s="19" t="s">
        <v>3</v>
      </c>
      <c r="G4" s="19" t="s">
        <v>4</v>
      </c>
      <c r="H4" s="17" t="s">
        <v>5</v>
      </c>
      <c r="I4" s="17" t="s">
        <v>6</v>
      </c>
      <c r="J4" s="17" t="s">
        <v>7</v>
      </c>
      <c r="K4" s="23" t="s">
        <v>8</v>
      </c>
      <c r="L4" s="61" t="s">
        <v>53</v>
      </c>
      <c r="M4" s="61" t="s">
        <v>54</v>
      </c>
      <c r="N4" s="61" t="s">
        <v>71</v>
      </c>
      <c r="O4" s="61" t="s">
        <v>72</v>
      </c>
      <c r="P4" s="61" t="s">
        <v>55</v>
      </c>
      <c r="Q4" s="61"/>
    </row>
    <row r="5" spans="1:17" ht="18.75" customHeight="1" x14ac:dyDescent="0.25">
      <c r="A5" s="55" t="s">
        <v>19</v>
      </c>
      <c r="B5" s="55"/>
      <c r="C5" s="55"/>
      <c r="D5" s="55"/>
      <c r="E5" s="55"/>
      <c r="F5" s="55"/>
      <c r="G5" s="56"/>
      <c r="H5" s="17"/>
      <c r="I5" s="17"/>
      <c r="J5" s="17"/>
      <c r="K5" s="23"/>
    </row>
    <row r="6" spans="1:17" s="8" customFormat="1" ht="84" customHeight="1" x14ac:dyDescent="0.2">
      <c r="A6" s="12"/>
      <c r="B6" s="26">
        <v>1</v>
      </c>
      <c r="C6" s="25" t="s">
        <v>20</v>
      </c>
      <c r="D6" s="26" t="s">
        <v>21</v>
      </c>
      <c r="E6" s="26">
        <v>4</v>
      </c>
      <c r="F6" s="35"/>
      <c r="G6" s="16" t="s">
        <v>10</v>
      </c>
      <c r="H6" s="17">
        <v>0.05</v>
      </c>
      <c r="I6" s="17">
        <v>0.05</v>
      </c>
      <c r="J6" s="17">
        <v>0.6</v>
      </c>
      <c r="K6" s="24">
        <f t="shared" ref="K6:K20" si="0">H6*I6*J6</f>
        <v>1.5000000000000002E-3</v>
      </c>
      <c r="L6" s="8">
        <f>E6*6</f>
        <v>24</v>
      </c>
    </row>
    <row r="7" spans="1:17" s="8" customFormat="1" ht="72" customHeight="1" x14ac:dyDescent="0.25">
      <c r="A7" s="11"/>
      <c r="B7" s="26">
        <v>2</v>
      </c>
      <c r="C7" s="22" t="s">
        <v>23</v>
      </c>
      <c r="D7" s="26" t="s">
        <v>22</v>
      </c>
      <c r="E7" s="26">
        <v>4</v>
      </c>
      <c r="F7" s="35"/>
      <c r="G7" s="32" t="s">
        <v>26</v>
      </c>
      <c r="H7" s="17">
        <v>270</v>
      </c>
      <c r="I7" s="17">
        <v>10</v>
      </c>
      <c r="J7" s="17">
        <v>10</v>
      </c>
      <c r="K7" s="24">
        <f t="shared" si="0"/>
        <v>27000</v>
      </c>
      <c r="M7" s="8">
        <f>E7*2</f>
        <v>8</v>
      </c>
    </row>
    <row r="8" spans="1:17" s="18" customFormat="1" ht="103.5" customHeight="1" x14ac:dyDescent="0.25">
      <c r="A8" s="13"/>
      <c r="B8" s="27">
        <v>3</v>
      </c>
      <c r="C8" s="25" t="s">
        <v>25</v>
      </c>
      <c r="D8" s="27" t="s">
        <v>24</v>
      </c>
      <c r="E8" s="27">
        <v>8</v>
      </c>
      <c r="F8" s="35"/>
      <c r="G8" s="16" t="s">
        <v>51</v>
      </c>
      <c r="H8" s="14">
        <v>10</v>
      </c>
      <c r="I8" s="14">
        <v>8</v>
      </c>
      <c r="J8" s="14">
        <v>60</v>
      </c>
      <c r="K8" s="17">
        <f t="shared" si="0"/>
        <v>4800</v>
      </c>
    </row>
    <row r="9" spans="1:17" s="18" customFormat="1" ht="103.5" customHeight="1" thickBot="1" x14ac:dyDescent="0.3">
      <c r="A9" s="30"/>
      <c r="B9" s="37">
        <v>4</v>
      </c>
      <c r="C9" s="38"/>
      <c r="D9" s="39" t="s">
        <v>50</v>
      </c>
      <c r="E9" s="39">
        <v>48</v>
      </c>
      <c r="F9" s="40"/>
      <c r="G9" s="41" t="s">
        <v>51</v>
      </c>
      <c r="H9" s="14"/>
      <c r="I9" s="14"/>
      <c r="J9" s="14"/>
      <c r="K9" s="17"/>
    </row>
    <row r="10" spans="1:17" s="18" customFormat="1" ht="22.5" customHeight="1" thickBot="1" x14ac:dyDescent="0.3">
      <c r="A10" s="30"/>
      <c r="B10" s="57" t="s">
        <v>16</v>
      </c>
      <c r="C10" s="58"/>
      <c r="D10" s="58"/>
      <c r="E10" s="58"/>
      <c r="F10" s="58"/>
      <c r="G10" s="59"/>
      <c r="H10" s="36"/>
      <c r="I10" s="14"/>
      <c r="J10" s="14"/>
      <c r="K10" s="17"/>
    </row>
    <row r="11" spans="1:17" s="8" customFormat="1" ht="108" customHeight="1" x14ac:dyDescent="0.2">
      <c r="A11" s="5"/>
      <c r="B11" s="42">
        <v>5</v>
      </c>
      <c r="C11" s="43" t="s">
        <v>33</v>
      </c>
      <c r="D11" s="42" t="s">
        <v>35</v>
      </c>
      <c r="E11" s="42">
        <v>2</v>
      </c>
      <c r="F11" s="44"/>
      <c r="G11" s="45" t="s">
        <v>26</v>
      </c>
      <c r="H11" s="17">
        <v>115</v>
      </c>
      <c r="I11" s="17">
        <v>30</v>
      </c>
      <c r="J11" s="17">
        <v>2.1</v>
      </c>
      <c r="K11" s="24">
        <f t="shared" si="0"/>
        <v>7245</v>
      </c>
      <c r="N11" s="8">
        <f>E11*2</f>
        <v>4</v>
      </c>
      <c r="O11" s="8">
        <f>E11*2</f>
        <v>4</v>
      </c>
    </row>
    <row r="12" spans="1:17" s="8" customFormat="1" ht="108" customHeight="1" x14ac:dyDescent="0.2">
      <c r="A12" s="5"/>
      <c r="B12" s="26">
        <v>6</v>
      </c>
      <c r="C12" s="28" t="s">
        <v>34</v>
      </c>
      <c r="D12" s="26" t="s">
        <v>35</v>
      </c>
      <c r="E12" s="26">
        <v>2</v>
      </c>
      <c r="F12" s="35"/>
      <c r="G12" s="32" t="s">
        <v>26</v>
      </c>
      <c r="H12" s="17">
        <v>115</v>
      </c>
      <c r="I12" s="17">
        <v>30</v>
      </c>
      <c r="J12" s="17">
        <v>2.1</v>
      </c>
      <c r="K12" s="24">
        <f t="shared" ref="K12" si="1">H12*I12*J12</f>
        <v>7245</v>
      </c>
      <c r="N12" s="8">
        <f>E12*2</f>
        <v>4</v>
      </c>
      <c r="O12" s="8">
        <f>E12*2</f>
        <v>4</v>
      </c>
    </row>
    <row r="13" spans="1:17" s="8" customFormat="1" ht="109.5" customHeight="1" x14ac:dyDescent="0.2">
      <c r="A13" s="5"/>
      <c r="B13" s="42">
        <v>7</v>
      </c>
      <c r="C13" s="28" t="s">
        <v>36</v>
      </c>
      <c r="D13" s="26" t="s">
        <v>39</v>
      </c>
      <c r="E13" s="26">
        <v>4</v>
      </c>
      <c r="F13" s="35"/>
      <c r="G13" s="33" t="s">
        <v>28</v>
      </c>
      <c r="H13" s="17">
        <v>111</v>
      </c>
      <c r="I13" s="17">
        <v>30</v>
      </c>
      <c r="J13" s="17">
        <v>2.1</v>
      </c>
      <c r="K13" s="24">
        <f t="shared" si="0"/>
        <v>6993</v>
      </c>
      <c r="P13" s="8">
        <f>E13*3</f>
        <v>12</v>
      </c>
    </row>
    <row r="14" spans="1:17" s="8" customFormat="1" ht="114.75" customHeight="1" x14ac:dyDescent="0.2">
      <c r="A14" s="5"/>
      <c r="B14" s="26">
        <v>8</v>
      </c>
      <c r="C14" s="28" t="s">
        <v>37</v>
      </c>
      <c r="D14" s="26" t="s">
        <v>38</v>
      </c>
      <c r="E14" s="26">
        <v>4</v>
      </c>
      <c r="F14" s="35"/>
      <c r="G14" s="33" t="s">
        <v>28</v>
      </c>
      <c r="H14" s="17">
        <v>136</v>
      </c>
      <c r="I14" s="17">
        <v>22</v>
      </c>
      <c r="J14" s="17">
        <v>2.1</v>
      </c>
      <c r="K14" s="24">
        <f t="shared" si="0"/>
        <v>6283.2</v>
      </c>
      <c r="P14" s="8">
        <f>E14*3</f>
        <v>12</v>
      </c>
    </row>
    <row r="15" spans="1:17" s="8" customFormat="1" ht="112.5" customHeight="1" x14ac:dyDescent="0.2">
      <c r="A15" s="5"/>
      <c r="B15" s="42">
        <v>9</v>
      </c>
      <c r="C15" s="28" t="s">
        <v>40</v>
      </c>
      <c r="D15" s="26" t="s">
        <v>42</v>
      </c>
      <c r="E15" s="26">
        <v>4</v>
      </c>
      <c r="F15" s="35"/>
      <c r="G15" s="31" t="s">
        <v>27</v>
      </c>
      <c r="H15" s="17">
        <v>99.5</v>
      </c>
      <c r="I15" s="17">
        <v>22</v>
      </c>
      <c r="J15" s="17">
        <v>2.1</v>
      </c>
      <c r="K15" s="24">
        <f t="shared" si="0"/>
        <v>4596.9000000000005</v>
      </c>
      <c r="L15" s="8">
        <f>E15*4</f>
        <v>16</v>
      </c>
      <c r="P15" s="8">
        <f>E15*4</f>
        <v>16</v>
      </c>
    </row>
    <row r="16" spans="1:17" s="8" customFormat="1" ht="104.25" customHeight="1" x14ac:dyDescent="0.2">
      <c r="A16" s="5"/>
      <c r="B16" s="26">
        <v>10</v>
      </c>
      <c r="C16" s="28" t="s">
        <v>41</v>
      </c>
      <c r="D16" s="26" t="s">
        <v>43</v>
      </c>
      <c r="E16" s="26">
        <v>2</v>
      </c>
      <c r="F16" s="35"/>
      <c r="G16" s="31" t="s">
        <v>27</v>
      </c>
      <c r="H16" s="17">
        <v>95</v>
      </c>
      <c r="I16" s="17">
        <v>100</v>
      </c>
      <c r="J16" s="17">
        <v>2.1</v>
      </c>
      <c r="K16" s="24">
        <f t="shared" si="0"/>
        <v>19950</v>
      </c>
    </row>
    <row r="17" spans="1:16" s="8" customFormat="1" ht="104.25" customHeight="1" x14ac:dyDescent="0.2">
      <c r="A17" s="5"/>
      <c r="B17" s="42">
        <v>11</v>
      </c>
      <c r="C17" s="28" t="s">
        <v>31</v>
      </c>
      <c r="D17" s="26" t="s">
        <v>29</v>
      </c>
      <c r="E17" s="26">
        <v>4</v>
      </c>
      <c r="F17" s="35"/>
      <c r="G17" s="34" t="s">
        <v>30</v>
      </c>
      <c r="H17" s="17">
        <v>3.5000000000000003E-2</v>
      </c>
      <c r="I17" s="17">
        <v>0.09</v>
      </c>
      <c r="J17" s="17">
        <v>0.5</v>
      </c>
      <c r="K17" s="24">
        <f t="shared" ref="K17:K19" si="2">H17*I17*J17</f>
        <v>1.575E-3</v>
      </c>
    </row>
    <row r="18" spans="1:16" s="8" customFormat="1" ht="104.25" customHeight="1" x14ac:dyDescent="0.2">
      <c r="A18" s="5"/>
      <c r="B18" s="26">
        <v>12</v>
      </c>
      <c r="C18" s="28" t="s">
        <v>44</v>
      </c>
      <c r="D18" s="26" t="s">
        <v>46</v>
      </c>
      <c r="E18" s="26">
        <v>4</v>
      </c>
      <c r="F18" s="35"/>
      <c r="G18" s="34" t="s">
        <v>30</v>
      </c>
      <c r="H18" s="17">
        <v>3.5000000000000003E-2</v>
      </c>
      <c r="I18" s="17">
        <v>0.09</v>
      </c>
      <c r="J18" s="17">
        <v>2.02</v>
      </c>
      <c r="K18" s="24">
        <f t="shared" si="2"/>
        <v>6.3629999999999997E-3</v>
      </c>
    </row>
    <row r="19" spans="1:16" s="8" customFormat="1" ht="104.25" customHeight="1" x14ac:dyDescent="0.2">
      <c r="A19" s="5"/>
      <c r="B19" s="42">
        <v>13</v>
      </c>
      <c r="C19" s="28" t="s">
        <v>45</v>
      </c>
      <c r="D19" s="26" t="s">
        <v>47</v>
      </c>
      <c r="E19" s="26">
        <v>4</v>
      </c>
      <c r="F19" s="35"/>
      <c r="G19" s="34" t="s">
        <v>30</v>
      </c>
      <c r="H19" s="17">
        <v>3.5000000000000003E-2</v>
      </c>
      <c r="I19" s="17">
        <v>0.09</v>
      </c>
      <c r="J19" s="17">
        <v>1.3</v>
      </c>
      <c r="K19" s="24">
        <f t="shared" si="2"/>
        <v>4.0950000000000005E-3</v>
      </c>
    </row>
    <row r="20" spans="1:16" s="18" customFormat="1" ht="100.5" customHeight="1" x14ac:dyDescent="0.25">
      <c r="A20" s="29"/>
      <c r="B20" s="26">
        <v>14</v>
      </c>
      <c r="C20" s="25" t="s">
        <v>14</v>
      </c>
      <c r="D20" s="25" t="s">
        <v>13</v>
      </c>
      <c r="E20" s="26">
        <v>10</v>
      </c>
      <c r="F20" s="17"/>
      <c r="G20" s="20" t="s">
        <v>10</v>
      </c>
      <c r="H20" s="14">
        <v>6.2</v>
      </c>
      <c r="I20" s="14">
        <v>6.2</v>
      </c>
      <c r="J20" s="14">
        <v>4</v>
      </c>
      <c r="K20" s="17">
        <f t="shared" si="0"/>
        <v>153.76000000000002</v>
      </c>
    </row>
    <row r="21" spans="1:16" s="18" customFormat="1" ht="24" customHeight="1" x14ac:dyDescent="0.25">
      <c r="A21" s="29"/>
      <c r="B21" s="46" t="s">
        <v>17</v>
      </c>
      <c r="C21" s="47"/>
      <c r="D21" s="47"/>
      <c r="E21" s="47"/>
      <c r="F21" s="47"/>
      <c r="G21" s="48"/>
      <c r="H21" s="14"/>
      <c r="I21" s="14"/>
      <c r="J21" s="14"/>
      <c r="K21" s="17"/>
    </row>
    <row r="22" spans="1:16" ht="58.5" customHeight="1" x14ac:dyDescent="0.25">
      <c r="A22" s="7"/>
      <c r="B22" s="26">
        <v>15</v>
      </c>
      <c r="C22" s="22" t="s">
        <v>15</v>
      </c>
      <c r="D22" s="22" t="s">
        <v>11</v>
      </c>
      <c r="E22" s="22">
        <v>4</v>
      </c>
      <c r="F22" s="19"/>
      <c r="G22" s="15" t="s">
        <v>12</v>
      </c>
      <c r="H22" s="15">
        <v>2.7</v>
      </c>
      <c r="I22" s="15">
        <v>2.7</v>
      </c>
      <c r="J22" s="15">
        <v>1.6</v>
      </c>
      <c r="K22" s="24">
        <f t="shared" ref="K22" si="3">H22*I22*J22</f>
        <v>11.664000000000001</v>
      </c>
    </row>
    <row r="23" spans="1:16" ht="76.5" customHeight="1" x14ac:dyDescent="0.25">
      <c r="B23" s="26">
        <v>16</v>
      </c>
      <c r="C23" s="22" t="s">
        <v>49</v>
      </c>
      <c r="D23" s="22" t="s">
        <v>48</v>
      </c>
      <c r="E23" s="22">
        <v>104</v>
      </c>
      <c r="F23" s="19"/>
      <c r="G23" s="15" t="s">
        <v>12</v>
      </c>
      <c r="H23" s="15">
        <v>2.7</v>
      </c>
      <c r="I23" s="15">
        <v>2.7</v>
      </c>
      <c r="J23" s="15">
        <v>1.6</v>
      </c>
      <c r="K23" s="24">
        <f t="shared" ref="K23" si="4">H23*I23*J23</f>
        <v>11.664000000000001</v>
      </c>
      <c r="L23">
        <f>SUM(L6:L22)</f>
        <v>40</v>
      </c>
      <c r="M23">
        <f>SUM(M6:M22)</f>
        <v>8</v>
      </c>
      <c r="N23">
        <f>SUM(N6:N22)</f>
        <v>8</v>
      </c>
      <c r="O23">
        <f>SUM(O6:O22)</f>
        <v>8</v>
      </c>
      <c r="P23">
        <f>SUM(P6:P22)</f>
        <v>40</v>
      </c>
    </row>
    <row r="25" spans="1:16" ht="16.5" thickBot="1" x14ac:dyDescent="0.3">
      <c r="C25" s="2" t="s">
        <v>73</v>
      </c>
      <c r="D25" s="2" t="s">
        <v>74</v>
      </c>
      <c r="E25" s="2" t="s">
        <v>70</v>
      </c>
      <c r="L25" s="61" t="s">
        <v>53</v>
      </c>
      <c r="M25" s="61" t="s">
        <v>54</v>
      </c>
      <c r="N25" s="61" t="s">
        <v>71</v>
      </c>
      <c r="O25" s="61" t="s">
        <v>72</v>
      </c>
      <c r="P25" s="61" t="s">
        <v>55</v>
      </c>
    </row>
    <row r="26" spans="1:16" x14ac:dyDescent="0.25">
      <c r="C26" s="62" t="s">
        <v>52</v>
      </c>
      <c r="D26" s="63" t="s">
        <v>54</v>
      </c>
      <c r="E26" s="64">
        <f>M23</f>
        <v>8</v>
      </c>
      <c r="F26" s="65" t="s">
        <v>70</v>
      </c>
    </row>
    <row r="27" spans="1:16" x14ac:dyDescent="0.25">
      <c r="C27" s="66"/>
      <c r="D27" s="60" t="s">
        <v>53</v>
      </c>
      <c r="E27" s="35">
        <f>L23</f>
        <v>40</v>
      </c>
      <c r="F27" s="67" t="s">
        <v>70</v>
      </c>
    </row>
    <row r="28" spans="1:16" x14ac:dyDescent="0.25">
      <c r="C28" s="66"/>
      <c r="D28" s="60" t="s">
        <v>71</v>
      </c>
      <c r="E28" s="35">
        <f>N23</f>
        <v>8</v>
      </c>
      <c r="F28" s="67" t="s">
        <v>70</v>
      </c>
    </row>
    <row r="29" spans="1:16" x14ac:dyDescent="0.25">
      <c r="C29" s="66"/>
      <c r="D29" s="60" t="s">
        <v>55</v>
      </c>
      <c r="E29" s="35">
        <f>P23</f>
        <v>40</v>
      </c>
      <c r="F29" s="67" t="s">
        <v>70</v>
      </c>
    </row>
    <row r="30" spans="1:16" x14ac:dyDescent="0.25">
      <c r="C30" s="66"/>
      <c r="D30" s="60" t="s">
        <v>56</v>
      </c>
      <c r="E30" s="35">
        <f>M23</f>
        <v>8</v>
      </c>
      <c r="F30" s="67" t="s">
        <v>70</v>
      </c>
    </row>
    <row r="31" spans="1:16" ht="15.75" thickBot="1" x14ac:dyDescent="0.3">
      <c r="C31" s="68"/>
      <c r="D31" s="69" t="s">
        <v>72</v>
      </c>
      <c r="E31" s="70">
        <f>O23</f>
        <v>8</v>
      </c>
      <c r="F31" s="71" t="s">
        <v>70</v>
      </c>
    </row>
    <row r="32" spans="1:16" x14ac:dyDescent="0.25">
      <c r="C32" s="62" t="s">
        <v>57</v>
      </c>
      <c r="D32" s="63" t="s">
        <v>58</v>
      </c>
      <c r="E32" s="64">
        <f>E26</f>
        <v>8</v>
      </c>
      <c r="F32" s="65" t="s">
        <v>70</v>
      </c>
    </row>
    <row r="33" spans="3:6" ht="15.75" thickBot="1" x14ac:dyDescent="0.3">
      <c r="C33" s="68"/>
      <c r="D33" s="69" t="s">
        <v>59</v>
      </c>
      <c r="E33" s="70">
        <f>E27+E28+E29+E30+E31</f>
        <v>104</v>
      </c>
      <c r="F33" s="71" t="s">
        <v>70</v>
      </c>
    </row>
    <row r="34" spans="3:6" x14ac:dyDescent="0.25">
      <c r="C34" s="62" t="s">
        <v>60</v>
      </c>
      <c r="D34" s="63" t="s">
        <v>58</v>
      </c>
      <c r="E34" s="64">
        <f>E26</f>
        <v>8</v>
      </c>
      <c r="F34" s="65" t="s">
        <v>70</v>
      </c>
    </row>
    <row r="35" spans="3:6" ht="15.75" thickBot="1" x14ac:dyDescent="0.3">
      <c r="C35" s="68"/>
      <c r="D35" s="69" t="s">
        <v>59</v>
      </c>
      <c r="E35" s="70">
        <f>E27+E28+E29+E30+E31</f>
        <v>104</v>
      </c>
      <c r="F35" s="71" t="s">
        <v>70</v>
      </c>
    </row>
    <row r="36" spans="3:6" ht="30.75" thickBot="1" x14ac:dyDescent="0.3">
      <c r="C36" s="72" t="s">
        <v>61</v>
      </c>
      <c r="D36" s="73" t="s">
        <v>62</v>
      </c>
      <c r="E36" s="74">
        <v>48</v>
      </c>
      <c r="F36" s="75" t="s">
        <v>70</v>
      </c>
    </row>
    <row r="37" spans="3:6" ht="30.75" thickBot="1" x14ac:dyDescent="0.3">
      <c r="C37" s="76" t="s">
        <v>63</v>
      </c>
      <c r="D37" s="73" t="s">
        <v>64</v>
      </c>
      <c r="E37" s="74">
        <v>48</v>
      </c>
      <c r="F37" s="75" t="s">
        <v>70</v>
      </c>
    </row>
    <row r="38" spans="3:6" x14ac:dyDescent="0.25">
      <c r="C38" s="62" t="s">
        <v>65</v>
      </c>
      <c r="D38" s="63" t="s">
        <v>15</v>
      </c>
      <c r="E38" s="64">
        <f>E26</f>
        <v>8</v>
      </c>
      <c r="F38" s="65" t="s">
        <v>70</v>
      </c>
    </row>
    <row r="39" spans="3:6" ht="15.75" thickBot="1" x14ac:dyDescent="0.3">
      <c r="C39" s="68"/>
      <c r="D39" s="69" t="s">
        <v>49</v>
      </c>
      <c r="E39" s="70">
        <f>E35</f>
        <v>104</v>
      </c>
      <c r="F39" s="71" t="s">
        <v>70</v>
      </c>
    </row>
    <row r="40" spans="3:6" ht="15.75" thickBot="1" x14ac:dyDescent="0.3">
      <c r="C40" s="77" t="s">
        <v>66</v>
      </c>
      <c r="D40" s="73" t="s">
        <v>67</v>
      </c>
      <c r="E40" s="74">
        <v>8</v>
      </c>
      <c r="F40" s="75" t="s">
        <v>70</v>
      </c>
    </row>
    <row r="41" spans="3:6" ht="15.75" thickBot="1" x14ac:dyDescent="0.3">
      <c r="C41" s="78" t="s">
        <v>68</v>
      </c>
      <c r="D41" s="73" t="s">
        <v>69</v>
      </c>
      <c r="E41" s="74">
        <v>10</v>
      </c>
      <c r="F41" s="75" t="s">
        <v>70</v>
      </c>
    </row>
    <row r="42" spans="3:6" x14ac:dyDescent="0.25">
      <c r="F42" s="79"/>
    </row>
    <row r="43" spans="3:6" x14ac:dyDescent="0.25">
      <c r="F43" s="79"/>
    </row>
  </sheetData>
  <mergeCells count="10">
    <mergeCell ref="C26:C31"/>
    <mergeCell ref="C32:C33"/>
    <mergeCell ref="C34:C35"/>
    <mergeCell ref="C38:C39"/>
    <mergeCell ref="B21:G21"/>
    <mergeCell ref="A1:K1"/>
    <mergeCell ref="B3:K3"/>
    <mergeCell ref="B2:K2"/>
    <mergeCell ref="A5:G5"/>
    <mergeCell ref="B10:G10"/>
  </mergeCells>
  <phoneticPr fontId="14" type="noConversion"/>
  <pageMargins left="0.70866141732283472" right="0.70866141732283472" top="0.74803149606299213" bottom="0.74803149606299213" header="0.31496062992125984" footer="0.31496062992125984"/>
  <pageSetup paperSize="9" scale="4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Reanimator Extreme Edition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Евгения</dc:creator>
  <cp:lastModifiedBy>111</cp:lastModifiedBy>
  <cp:lastPrinted>2023-06-06T10:16:40Z</cp:lastPrinted>
  <dcterms:created xsi:type="dcterms:W3CDTF">2017-04-27T07:18:00Z</dcterms:created>
  <dcterms:modified xsi:type="dcterms:W3CDTF">2026-04-08T07:37:15Z</dcterms:modified>
</cp:coreProperties>
</file>