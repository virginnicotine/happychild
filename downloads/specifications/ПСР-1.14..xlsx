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<sst xmlns="http://schemas.openxmlformats.org/spreadsheetml/2006/main" count="72" uniqueCount="72">
  <si>
    <t>ПСР-1.14</t>
  </si>
  <si>
    <t xml:space="preserve">Размер 2,3 х 2,3 х 1,7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</si>
  <si>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</si>
  <si>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</si>
  <si>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</si>
  <si>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</si>
  <si>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</si>
  <si>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</si>
  <si>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</si>
  <si>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</si>
  <si>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</si>
  <si>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</si>
  <si>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Объем всего</t>
  </si>
  <si>
    <t xml:space="preserve">Метизы крепления на 1 комплектующую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</si>
  <si>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</si>
  <si>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</si>
  <si>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</si>
  <si>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</si>
  <si>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>глухМ8х60</t>
  </si>
  <si>
    <t>глухМ8х80</t>
  </si>
  <si>
    <t>М6х40</t>
  </si>
  <si>
    <t>М6х55</t>
  </si>
  <si>
    <t>СТОЛБЫ</t>
  </si>
  <si>
    <t>0004ДБ</t>
  </si>
  <si>
    <t xml:space="preserve">Столб (брус 100х100) 1000 мм</t>
  </si>
  <si>
    <t>0007ДБ</t>
  </si>
  <si>
    <t xml:space="preserve">Столб (брус 100х100) 1700 мм</t>
  </si>
  <si>
    <t>0013МП</t>
  </si>
  <si>
    <t xml:space="preserve">Закладная для столба 100х100 </t>
  </si>
  <si>
    <t xml:space="preserve">Болт М10х120 - 2 шт.,                         Шайба м10 увел. - 4 шт.,                           Гайка М10 - 2 шт.,                            Гровер 10 - 2 шт.,        </t>
  </si>
  <si>
    <t>ПАНЕЛИ</t>
  </si>
  <si>
    <t xml:space="preserve">ЭЛЕМЕНТЫ ДОМИКОВ  1.08</t>
  </si>
  <si>
    <t>000723</t>
  </si>
  <si>
    <t xml:space="preserve">Борт 1 песочницы 1.02
800 x 300 x 21</t>
  </si>
  <si>
    <t xml:space="preserve">Шуруп (глухарь) 8х80 - 4 шт.                         Шайба м8 увел. - 4шт.                         </t>
  </si>
  <si>
    <t>000724</t>
  </si>
  <si>
    <t xml:space="preserve">Борт 2 песочницы 1.02
870 x 300 x 21 </t>
  </si>
  <si>
    <t>000725</t>
  </si>
  <si>
    <t xml:space="preserve">Лавка 1 песочницы 1.02
800 x 200 x 21   </t>
  </si>
  <si>
    <t>000726</t>
  </si>
  <si>
    <t xml:space="preserve">Лавка 2 песочницы 1.02
996 x 218 x 21 </t>
  </si>
  <si>
    <t>000752</t>
  </si>
  <si>
    <t xml:space="preserve">Вход в песочницу 1.14
800 x 300 x 21  </t>
  </si>
  <si>
    <t>000107</t>
  </si>
  <si>
    <t xml:space="preserve">Панель Люк 800
800 x 700 x 21 </t>
  </si>
  <si>
    <t>000108</t>
  </si>
  <si>
    <t xml:space="preserve">Накладка Панели Люк 800
480 x 275 x 15  </t>
  </si>
  <si>
    <t xml:space="preserve">Болт мебельный М6х45 - 4 шт.                               Шайба м8 увел. - 4 шт.                    Гайка м6 - 4 шт        </t>
  </si>
  <si>
    <t>000751</t>
  </si>
  <si>
    <t xml:space="preserve">Арка песочницы угол 1.14
693 x 693 x 21 </t>
  </si>
  <si>
    <t xml:space="preserve">Шуруп (глухарь) 8х80 - 2 шт.                         Шайба м8 увел. - 2 шт.                         </t>
  </si>
  <si>
    <t>000033</t>
  </si>
  <si>
    <t xml:space="preserve">Накл. Галка (фронт крыши 800x800)
438 x 349 x 15</t>
  </si>
  <si>
    <t>000040</t>
  </si>
  <si>
    <t xml:space="preserve">Фиксатор счет двойной (400)
80 x 400 x 21  </t>
  </si>
  <si>
    <t>000041</t>
  </si>
  <si>
    <t xml:space="preserve">Кольцо счет
110 x 110 x 21 </t>
  </si>
  <si>
    <t>разноцветные</t>
  </si>
  <si>
    <t>0058МП</t>
  </si>
  <si>
    <t xml:space="preserve">Труба 21x600мм (под счеты)</t>
  </si>
  <si>
    <t>0003МП</t>
  </si>
  <si>
    <t xml:space="preserve">Уголок 55х55х40</t>
  </si>
  <si>
    <t xml:space="preserve">Болт мебельный М6х35 - 2 шт.                               Шайба м8 увел. - 2 шт.                    Гайка м6 - 2 шт        </t>
  </si>
  <si>
    <t>0056МП</t>
  </si>
  <si>
    <t xml:space="preserve">Уголок крепежный 62х62 135гр.</t>
  </si>
  <si>
    <t>ЗАГЛУШКИ</t>
  </si>
  <si>
    <t>КЧМ6КС</t>
  </si>
  <si>
    <t xml:space="preserve">Заглушка К4М6КС</t>
  </si>
  <si>
    <t>Черный</t>
  </si>
  <si>
    <t xml:space="preserve">Заглушка К4М8КС</t>
  </si>
  <si>
    <t>100-100.11КК</t>
  </si>
  <si>
    <t xml:space="preserve">Заглушка 100-100.11КК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</si>
</sst>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\ _₽_-;\-* #,##0.00\ _₽_-;_-* &quot;-&quot;??\ _₽_-;_-@_-"/>
    <numFmt numFmtId="161" formatCode="0.0000"/>
    <numFmt numFmtId="162" formatCode="0.000"/>
    <numFmt numFmtId="163" formatCode="0.00000"/>
  </numFmts>
  <fonts count="19">
    <font>
      <sz val="11.000000"/>
      <color theme="1"/>
      <name val="Calibri"/>
      <scheme val="minor"/>
    </font>
    <font>
      <i/>
      <sz val="12.000000"/>
      <color theme="1"/>
      <name val="Arial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Arial"/>
    </font>
    <font>
      <sz val="10.000000"/>
      <color theme="1"/>
      <name val="Calibri"/>
      <scheme val="minor"/>
    </font>
    <font>
      <b/>
      <i/>
      <sz val="11.000000"/>
      <color theme="1"/>
      <name val="Arial"/>
    </font>
    <font>
      <b/>
      <i/>
      <sz val="12.000000"/>
      <color theme="1"/>
      <name val="Arial"/>
    </font>
    <font>
      <sz val="10.000000"/>
      <color theme="1"/>
      <name val="Arial"/>
    </font>
    <font>
      <i/>
      <sz val="12.000000"/>
      <name val="Calibri"/>
      <scheme val="minor"/>
    </font>
    <font>
      <i/>
      <sz val="12.000000"/>
      <color theme="1"/>
      <name val="Calibri"/>
      <scheme val="minor"/>
    </font>
    <font>
      <sz val="12.000000"/>
      <color theme="1"/>
      <name val="Arial"/>
    </font>
    <font>
      <i/>
      <sz val="12.000000"/>
      <color theme="0"/>
      <name val="Calibri"/>
      <scheme val="minor"/>
    </font>
    <font>
      <sz val="11.000000"/>
      <color theme="1"/>
      <name val="Arial"/>
    </font>
    <font>
      <b/>
      <sz val="16.000000"/>
      <color theme="1"/>
      <name val="Arial"/>
    </font>
    <font>
      <i/>
      <sz val="12.000000"/>
      <name val="Arial"/>
    </font>
    <font>
      <b/>
      <sz val="12.000000"/>
      <color theme="1"/>
      <name val="Arial"/>
    </font>
    <font>
      <sz val="12.00000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indexed="2"/>
        <bgColor indexed="2"/>
      </patternFill>
    </fill>
  </fills>
  <borders count="33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11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161" xfId="1" applyNumberForma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/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left" indent="1" vertical="center" wrapText="1"/>
    </xf>
    <xf fontId="1" fillId="0" borderId="9" numFmtId="0" xfId="0" applyFont="1" applyBorder="1" applyAlignment="1">
      <alignment horizontal="center" vertical="center" wrapText="1"/>
    </xf>
    <xf fontId="1" fillId="0" borderId="10" numFmtId="161" xfId="1" applyNumberFormat="1" applyFont="1" applyBorder="1" applyAlignment="1">
      <alignment vertical="center" wrapText="1"/>
    </xf>
    <xf fontId="0" fillId="0" borderId="11" numFmtId="0" xfId="0" applyBorder="1" applyAlignment="1">
      <alignment horizontal="center" vertical="center" wrapText="1"/>
    </xf>
    <xf fontId="6" fillId="0" borderId="12" numFmtId="0" xfId="0" applyFont="1" applyBorder="1" applyAlignment="1">
      <alignment horizontal="center" vertical="center" wrapText="1"/>
    </xf>
    <xf fontId="5" fillId="0" borderId="12" numFmtId="0" xfId="0" applyFont="1" applyBorder="1" applyAlignment="1">
      <alignment horizontal="center" vertical="center" wrapText="1"/>
    </xf>
    <xf fontId="7" fillId="0" borderId="12" numFmtId="0" xfId="0" applyFont="1" applyBorder="1" applyAlignment="1">
      <alignment horizontal="center" vertical="center" wrapText="1"/>
    </xf>
    <xf fontId="5" fillId="0" borderId="13" numFmtId="0" xfId="0" applyFont="1" applyBorder="1"/>
    <xf fontId="8" fillId="3" borderId="8" numFmtId="0" xfId="0" applyFont="1" applyFill="1" applyBorder="1" applyAlignment="1">
      <alignment horizontal="center" vertical="center"/>
    </xf>
    <xf fontId="8" fillId="3" borderId="9" numFmtId="0" xfId="0" applyFont="1" applyFill="1" applyBorder="1" applyAlignment="1">
      <alignment horizontal="center" vertical="center"/>
    </xf>
    <xf fontId="8" fillId="3" borderId="10" numFmtId="0" xfId="0" applyFont="1" applyFill="1" applyBorder="1" applyAlignment="1">
      <alignment horizontal="center" vertical="center"/>
    </xf>
    <xf fontId="0" fillId="0" borderId="11" numFmtId="0" xfId="0" applyBorder="1"/>
    <xf fontId="8" fillId="0" borderId="12" numFmtId="0" xfId="0" applyFont="1" applyBorder="1" applyAlignment="1">
      <alignment horizontal="center" vertical="center"/>
    </xf>
    <xf fontId="5" fillId="0" borderId="12" numFmtId="0" xfId="0" applyFont="1" applyBorder="1"/>
    <xf fontId="9" fillId="0" borderId="0" numFmtId="0" xfId="0" applyFont="1" applyAlignment="1">
      <alignment horizontal="center" vertical="center" wrapText="1"/>
    </xf>
    <xf fontId="1" fillId="0" borderId="14" numFmtId="0" xfId="0" applyFont="1" applyBorder="1" applyAlignment="1">
      <alignment horizontal="center" vertical="center" wrapText="1"/>
    </xf>
    <xf fontId="10" fillId="0" borderId="12" numFmtId="0" xfId="0" applyFont="1" applyBorder="1" applyAlignment="1">
      <alignment horizontal="center" vertical="center"/>
    </xf>
    <xf fontId="11" fillId="0" borderId="12" numFmtId="0" xfId="0" applyFont="1" applyBorder="1" applyAlignment="1">
      <alignment horizontal="center" vertical="center" wrapText="1"/>
    </xf>
    <xf fontId="1" fillId="0" borderId="15" numFmtId="0" xfId="0" applyFont="1" applyBorder="1" applyAlignment="1">
      <alignment horizontal="center" vertical="center" wrapText="1"/>
    </xf>
    <xf fontId="12" fillId="0" borderId="15" numFmtId="0" xfId="0" applyFont="1" applyBorder="1" applyAlignment="1">
      <alignment horizontal="center" vertical="center" wrapText="1"/>
    </xf>
    <xf fontId="13" fillId="4" borderId="16" numFmtId="0" xfId="0" applyFont="1" applyFill="1" applyBorder="1" applyAlignment="1">
      <alignment horizontal="center" vertical="center"/>
    </xf>
    <xf fontId="12" fillId="0" borderId="17" numFmtId="162" xfId="0" applyNumberFormat="1" applyFont="1" applyBorder="1" applyAlignment="1">
      <alignment horizontal="center" vertical="center" wrapText="1"/>
    </xf>
    <xf fontId="14" fillId="0" borderId="11" numFmtId="0" xfId="0" applyFont="1" applyBorder="1" applyAlignment="1">
      <alignment horizontal="center" vertical="center" wrapText="1"/>
    </xf>
    <xf fontId="12" fillId="0" borderId="12" numFmtId="162" xfId="0" applyNumberFormat="1" applyFont="1" applyBorder="1" applyAlignment="1">
      <alignment horizontal="center" vertical="center" wrapText="1"/>
    </xf>
    <xf fontId="14" fillId="0" borderId="12" numFmtId="0" xfId="0" applyFont="1" applyBorder="1" applyAlignment="1">
      <alignment horizontal="center" vertical="center" wrapText="1"/>
    </xf>
    <xf fontId="11" fillId="0" borderId="12" numFmtId="0" xfId="0" applyFont="1" applyBorder="1" applyAlignment="1">
      <alignment horizontal="center" vertical="center"/>
    </xf>
    <xf fontId="7" fillId="0" borderId="18" numFmtId="0" xfId="0" applyFont="1" applyBorder="1" applyAlignment="1">
      <alignment horizontal="center" textRotation="90" vertical="center" wrapText="1"/>
    </xf>
    <xf fontId="11" fillId="0" borderId="4" numFmtId="0" xfId="0" applyFont="1" applyBorder="1" applyAlignment="1">
      <alignment horizontal="center" vertical="center"/>
    </xf>
    <xf fontId="11" fillId="0" borderId="4" numFmtId="0" xfId="0" applyFont="1" applyBorder="1" applyAlignment="1">
      <alignment horizontal="center" vertical="center" wrapText="1"/>
    </xf>
    <xf fontId="1" fillId="0" borderId="16" numFmtId="0" xfId="0" applyFont="1" applyBorder="1" applyAlignment="1">
      <alignment horizontal="center" vertical="center" wrapText="1"/>
    </xf>
    <xf fontId="1" fillId="5" borderId="16" numFmtId="0" xfId="0" applyFont="1" applyFill="1" applyBorder="1" applyAlignment="1">
      <alignment horizontal="center" vertical="center"/>
    </xf>
    <xf fontId="1" fillId="0" borderId="19" numFmtId="161" xfId="1" applyNumberFormat="1" applyFont="1" applyBorder="1" applyAlignment="1">
      <alignment vertical="center" wrapText="1"/>
    </xf>
    <xf fontId="6" fillId="0" borderId="12" numFmtId="162" xfId="0" applyNumberFormat="1" applyFont="1" applyBorder="1" applyAlignment="1">
      <alignment horizontal="center" vertical="center" wrapText="1"/>
    </xf>
    <xf fontId="5" fillId="0" borderId="5" numFmtId="0" xfId="0" applyFont="1" applyBorder="1"/>
    <xf fontId="15" fillId="3" borderId="20" numFmtId="0" xfId="0" applyFont="1" applyFill="1" applyBorder="1" applyAlignment="1">
      <alignment horizontal="center" textRotation="90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12" numFmtId="49" xfId="0" applyNumberFormat="1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0" fillId="6" borderId="12" numFmtId="0" xfId="0" applyFont="1" applyFill="1" applyBorder="1" applyAlignment="1">
      <alignment horizontal="center" vertical="center"/>
    </xf>
    <xf fontId="1" fillId="0" borderId="21" numFmtId="161" xfId="0" applyNumberFormat="1" applyFont="1" applyBorder="1" applyAlignment="1">
      <alignment horizontal="center" vertical="center" wrapText="1"/>
    </xf>
    <xf fontId="15" fillId="3" borderId="18" numFmtId="0" xfId="0" applyFont="1" applyFill="1" applyBorder="1" applyAlignment="1">
      <alignment horizontal="center" textRotation="90" vertical="center" wrapText="1"/>
    </xf>
    <xf fontId="1" fillId="0" borderId="22" numFmtId="0" xfId="0" applyFont="1" applyBorder="1" applyAlignment="1">
      <alignment horizontal="center" vertical="center" wrapText="1"/>
    </xf>
    <xf fontId="11" fillId="7" borderId="12" numFmtId="0" xfId="0" applyFont="1" applyFill="1" applyBorder="1" applyAlignment="1">
      <alignment horizontal="center" vertical="center"/>
    </xf>
    <xf fontId="1" fillId="0" borderId="23" numFmtId="161" xfId="0" applyNumberFormat="1" applyFont="1" applyBorder="1" applyAlignment="1">
      <alignment horizontal="center" vertical="center" wrapText="1"/>
    </xf>
    <xf fontId="1" fillId="0" borderId="12" numFmtId="161" xfId="0" applyNumberFormat="1" applyFont="1" applyBorder="1" applyAlignment="1">
      <alignment horizontal="center" vertical="center" wrapText="1"/>
    </xf>
    <xf fontId="1" fillId="7" borderId="12" numFmtId="0" xfId="0" applyFont="1" applyFill="1" applyBorder="1" applyAlignment="1">
      <alignment horizontal="center" vertical="center"/>
    </xf>
    <xf fontId="16" fillId="6" borderId="12" numFmtId="0" xfId="0" applyFont="1" applyFill="1" applyBorder="1" applyAlignment="1">
      <alignment horizontal="center" vertical="center"/>
    </xf>
    <xf fontId="15" fillId="3" borderId="0" numFmtId="0" xfId="0" applyFont="1" applyFill="1" applyAlignment="1">
      <alignment horizontal="center" textRotation="90" vertical="center" wrapText="1"/>
    </xf>
    <xf fontId="10" fillId="0" borderId="12" numFmtId="49" xfId="0" applyNumberFormat="1" applyFont="1" applyBorder="1" applyAlignment="1">
      <alignment horizontal="center" vertical="center" wrapText="1"/>
    </xf>
    <xf fontId="1" fillId="8" borderId="2" numFmtId="0" xfId="0" applyFont="1" applyFill="1" applyBorder="1" applyAlignment="1">
      <alignment horizontal="center" vertical="center"/>
    </xf>
    <xf fontId="1" fillId="0" borderId="23" numFmtId="162" xfId="0" applyNumberFormat="1" applyFont="1" applyBorder="1" applyAlignment="1">
      <alignment horizontal="center" vertical="center" wrapText="1"/>
    </xf>
    <xf fontId="1" fillId="5" borderId="12" numFmtId="0" xfId="0" applyFont="1" applyFill="1" applyBorder="1" applyAlignment="1">
      <alignment horizontal="center" vertical="center"/>
    </xf>
    <xf fontId="14" fillId="0" borderId="23" numFmtId="162" xfId="0" applyNumberFormat="1" applyFont="1" applyBorder="1" applyAlignment="1">
      <alignment horizontal="center" vertical="center" wrapText="1"/>
    </xf>
    <xf fontId="11" fillId="0" borderId="0" numFmtId="0" xfId="0" applyFont="1" applyAlignment="1">
      <alignment horizontal="center" vertical="center"/>
    </xf>
    <xf fontId="11" fillId="8" borderId="12" numFmtId="0" xfId="0" applyFont="1" applyFill="1" applyBorder="1" applyAlignment="1">
      <alignment horizontal="center" vertical="center"/>
    </xf>
    <xf fontId="12" fillId="0" borderId="12" numFmtId="0" xfId="0" applyFont="1" applyBorder="1" applyAlignment="1">
      <alignment horizontal="center" vertical="center" wrapText="1"/>
    </xf>
    <xf fontId="5" fillId="0" borderId="23" numFmtId="161" xfId="0" applyNumberFormat="1" applyFont="1" applyBorder="1" applyAlignment="1">
      <alignment horizontal="center" vertical="center" wrapText="1"/>
    </xf>
    <xf fontId="16" fillId="0" borderId="12" numFmtId="0" xfId="0" applyFont="1" applyBorder="1" applyAlignment="1">
      <alignment horizontal="center" vertical="center" wrapText="1"/>
    </xf>
    <xf fontId="15" fillId="8" borderId="0" numFmtId="0" xfId="0" applyFont="1" applyFill="1" applyAlignment="1">
      <alignment horizontal="center" textRotation="90" vertical="center" wrapText="1"/>
    </xf>
    <xf fontId="11" fillId="9" borderId="12" numFmtId="0" xfId="0" applyFont="1" applyFill="1" applyBorder="1" applyAlignment="1">
      <alignment horizontal="center" vertical="center"/>
    </xf>
    <xf fontId="12" fillId="0" borderId="23" numFmtId="0" xfId="0" applyFont="1" applyBorder="1" applyAlignment="1">
      <alignment horizontal="center" vertical="center" wrapText="1"/>
    </xf>
    <xf fontId="12" fillId="0" borderId="23" numFmtId="162" xfId="0" applyNumberFormat="1" applyFont="1" applyBorder="1" applyAlignment="1">
      <alignment horizontal="center" vertical="center" wrapText="1"/>
    </xf>
    <xf fontId="17" fillId="5" borderId="24" numFmtId="0" xfId="0" applyFont="1" applyFill="1" applyBorder="1" applyAlignment="1">
      <alignment horizontal="center" textRotation="90" vertical="center" wrapText="1"/>
    </xf>
    <xf fontId="11" fillId="5" borderId="12" numFmtId="0" xfId="0" applyFont="1" applyFill="1" applyBorder="1" applyAlignment="1">
      <alignment horizontal="center" vertical="center"/>
    </xf>
    <xf fontId="12" fillId="0" borderId="12" numFmtId="2" xfId="0" applyNumberFormat="1" applyFont="1" applyBorder="1" applyAlignment="1">
      <alignment horizontal="center" vertical="center" wrapText="1"/>
    </xf>
    <xf fontId="5" fillId="0" borderId="18" numFmtId="0" xfId="0" applyFont="1" applyBorder="1"/>
    <xf fontId="11" fillId="0" borderId="12" numFmtId="49" xfId="0" applyNumberFormat="1" applyFont="1" applyBorder="1" applyAlignment="1">
      <alignment horizontal="center" vertical="center"/>
    </xf>
    <xf fontId="0" fillId="0" borderId="12" numFmtId="0" xfId="0" applyBorder="1"/>
    <xf fontId="1" fillId="0" borderId="23" numFmtId="161" xfId="1" applyNumberFormat="1" applyFont="1" applyBorder="1" applyAlignment="1">
      <alignment vertical="center" wrapText="1"/>
    </xf>
    <xf fontId="5" fillId="0" borderId="25" numFmtId="0" xfId="0" applyFont="1" applyBorder="1"/>
    <xf fontId="8" fillId="3" borderId="7" numFmtId="0" xfId="0" applyFont="1" applyFill="1" applyBorder="1" applyAlignment="1">
      <alignment horizontal="center" vertical="center" wrapText="1"/>
    </xf>
    <xf fontId="8" fillId="3" borderId="26" numFmtId="0" xfId="0" applyFont="1" applyFill="1" applyBorder="1" applyAlignment="1">
      <alignment horizontal="center" vertical="center" wrapText="1"/>
    </xf>
    <xf fontId="8" fillId="3" borderId="27" numFmtId="0" xfId="0" applyFont="1" applyFill="1" applyBorder="1" applyAlignment="1">
      <alignment horizontal="center" vertical="center" wrapText="1"/>
    </xf>
    <xf fontId="8" fillId="3" borderId="28" numFmtId="0" xfId="0" applyFont="1" applyFill="1" applyBorder="1" applyAlignment="1">
      <alignment horizontal="center" vertical="center" wrapText="1"/>
    </xf>
    <xf fontId="8" fillId="0" borderId="12" numFmtId="0" xfId="0" applyFont="1" applyBorder="1" applyAlignment="1">
      <alignment horizontal="center" vertical="center" wrapText="1"/>
    </xf>
    <xf fontId="5" fillId="0" borderId="18" numFmtId="0" xfId="0" applyFont="1" applyBorder="1" applyAlignment="1">
      <alignment horizontal="center" vertical="center"/>
    </xf>
    <xf fontId="8" fillId="0" borderId="2" numFmtId="0" xfId="0" applyFont="1" applyBorder="1" applyAlignment="1">
      <alignment horizontal="center" vertical="center"/>
    </xf>
    <xf fontId="1" fillId="0" borderId="2" numFmtId="0" xfId="0" applyFont="1" applyBorder="1"/>
    <xf fontId="5" fillId="0" borderId="2" numFmtId="0" xfId="0" applyFont="1" applyBorder="1" applyAlignment="1">
      <alignment horizontal="center" vertical="center"/>
    </xf>
    <xf fontId="5" fillId="0" borderId="21" numFmtId="163" xfId="1" applyNumberFormat="1" applyFont="1" applyBorder="1" applyAlignment="1">
      <alignment horizontal="center" vertical="center"/>
    </xf>
    <xf fontId="5" fillId="0" borderId="12" numFmtId="163" xfId="1" applyNumberFormat="1" applyFont="1" applyBorder="1" applyAlignment="1">
      <alignment horizontal="center" vertical="center"/>
    </xf>
    <xf fontId="1" fillId="0" borderId="12" numFmtId="0" xfId="0" applyFont="1" applyBorder="1"/>
    <xf fontId="5" fillId="0" borderId="12" numFmtId="0" xfId="0" applyFont="1" applyBorder="1" applyAlignment="1">
      <alignment horizontal="center" vertical="center"/>
    </xf>
    <xf fontId="5" fillId="0" borderId="23" numFmtId="163" xfId="1" applyNumberFormat="1" applyFont="1" applyBorder="1" applyAlignment="1">
      <alignment horizontal="center" vertical="center"/>
    </xf>
    <xf fontId="1" fillId="0" borderId="29" numFmtId="0" xfId="0" applyFont="1" applyBorder="1" applyAlignment="1">
      <alignment horizontal="center" vertical="center"/>
    </xf>
    <xf fontId="1" fillId="0" borderId="30" numFmtId="0" xfId="0" applyFont="1" applyBorder="1" applyAlignment="1">
      <alignment horizontal="center" vertical="center" wrapText="1"/>
    </xf>
    <xf fontId="8" fillId="0" borderId="31" numFmtId="0" xfId="0" applyFont="1" applyBorder="1" applyAlignment="1">
      <alignment horizontal="center" vertical="center"/>
    </xf>
    <xf fontId="1" fillId="0" borderId="31" numFmtId="0" xfId="0" applyFont="1" applyBorder="1" applyAlignment="1">
      <alignment horizontal="center"/>
    </xf>
    <xf fontId="5" fillId="0" borderId="31" numFmtId="0" xfId="0" applyFont="1" applyBorder="1" applyAlignment="1">
      <alignment horizontal="center" vertical="center"/>
    </xf>
    <xf fontId="18" fillId="0" borderId="4" numFmtId="0" xfId="0" applyFont="1" applyBorder="1" applyAlignment="1">
      <alignment horizontal="center" vertical="center"/>
    </xf>
    <xf fontId="5" fillId="0" borderId="32" numFmtId="163" xfId="1" applyNumberFormat="1" applyFont="1" applyBorder="1" applyAlignment="1">
      <alignment horizontal="center" vertical="center"/>
    </xf>
    <xf fontId="5" fillId="0" borderId="0" numFmtId="162" xfId="0" applyNumberFormat="1" applyFont="1"/>
    <xf fontId="5" fillId="0" borderId="0" numFmtId="0" xfId="0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pn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71563</xdr:colOff>
      <xdr:row>24</xdr:row>
      <xdr:rowOff>0</xdr:rowOff>
    </xdr:from>
    <xdr:to>
      <xdr:col>5</xdr:col>
      <xdr:colOff>1681025</xdr:colOff>
      <xdr:row>24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8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24</xdr:row>
      <xdr:rowOff>89647</xdr:rowOff>
    </xdr:from>
    <xdr:to>
      <xdr:col>5</xdr:col>
      <xdr:colOff>1171163</xdr:colOff>
      <xdr:row>24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25</xdr:row>
      <xdr:rowOff>45945</xdr:rowOff>
    </xdr:from>
    <xdr:to>
      <xdr:col>5</xdr:col>
      <xdr:colOff>1314720</xdr:colOff>
      <xdr:row>25</xdr:row>
      <xdr:rowOff>850933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132929</xdr:colOff>
      <xdr:row>9</xdr:row>
      <xdr:rowOff>134472</xdr:rowOff>
    </xdr:from>
    <xdr:to>
      <xdr:col>5</xdr:col>
      <xdr:colOff>1558074</xdr:colOff>
      <xdr:row>9</xdr:row>
      <xdr:rowOff>738680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r:embed="rId3"/>
        <a:stretch/>
      </xdr:blipFill>
      <xdr:spPr bwMode="auto">
        <a:xfrm>
          <a:off x="5262822" y="7455115"/>
          <a:ext cx="1425145" cy="6042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136070</xdr:colOff>
      <xdr:row>10</xdr:row>
      <xdr:rowOff>88793</xdr:rowOff>
    </xdr:from>
    <xdr:to>
      <xdr:col>5</xdr:col>
      <xdr:colOff>1652254</xdr:colOff>
      <xdr:row>10</xdr:row>
      <xdr:rowOff>693964</xdr:rowOff>
    </xdr:to>
    <xdr:pic>
      <xdr:nvPicPr>
        <xdr:cNvPr id="22" name="Picture 9"/>
        <xdr:cNvPicPr>
          <a:picLocks noChangeAspect="1" noChangeArrowheads="1"/>
        </xdr:cNvPicPr>
      </xdr:nvPicPr>
      <xdr:blipFill>
        <a:blip r:embed="rId4"/>
        <a:stretch/>
      </xdr:blipFill>
      <xdr:spPr bwMode="auto">
        <a:xfrm>
          <a:off x="5265963" y="8307507"/>
          <a:ext cx="1516184" cy="6051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25</xdr:row>
      <xdr:rowOff>45945</xdr:rowOff>
    </xdr:from>
    <xdr:to>
      <xdr:col>5</xdr:col>
      <xdr:colOff>1314720</xdr:colOff>
      <xdr:row>25</xdr:row>
      <xdr:rowOff>850934</xdr:rowOff>
    </xdr:to>
    <xdr:pic>
      <xdr:nvPicPr>
        <xdr:cNvPr id="43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25</xdr:row>
      <xdr:rowOff>45945</xdr:rowOff>
    </xdr:from>
    <xdr:to>
      <xdr:col>5</xdr:col>
      <xdr:colOff>1314720</xdr:colOff>
      <xdr:row>25</xdr:row>
      <xdr:rowOff>850926</xdr:rowOff>
    </xdr:to>
    <xdr:pic>
      <xdr:nvPicPr>
        <xdr:cNvPr id="45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2068285</xdr:colOff>
      <xdr:row>2</xdr:row>
      <xdr:rowOff>95250</xdr:rowOff>
    </xdr:from>
    <xdr:to>
      <xdr:col>6</xdr:col>
      <xdr:colOff>601412</xdr:colOff>
      <xdr:row>2</xdr:row>
      <xdr:rowOff>3782785</xdr:rowOff>
    </xdr:to>
    <xdr:pic>
      <xdr:nvPicPr>
        <xdr:cNvPr id="117" name="Рисунок 116" descr="2-11_вид 2.jpg"/>
        <xdr:cNvPicPr>
          <a:picLocks noChangeAspect="1"/>
        </xdr:cNvPicPr>
      </xdr:nvPicPr>
      <xdr:blipFill>
        <a:blip r:embed="rId5"/>
        <a:srcRect l="19214" t="2271" r="22286" b="3052"/>
        <a:stretch/>
      </xdr:blipFill>
      <xdr:spPr bwMode="auto">
        <a:xfrm>
          <a:off x="3673928" y="612321"/>
          <a:ext cx="3839913" cy="36875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176893</xdr:rowOff>
    </xdr:from>
    <xdr:to>
      <xdr:col>3</xdr:col>
      <xdr:colOff>1755321</xdr:colOff>
      <xdr:row>2</xdr:row>
      <xdr:rowOff>3782786</xdr:rowOff>
    </xdr:to>
    <xdr:pic>
      <xdr:nvPicPr>
        <xdr:cNvPr id="118" name="Рисунок 117" descr="2-11_вид 2.jpg"/>
        <xdr:cNvPicPr>
          <a:picLocks noChangeAspect="1"/>
        </xdr:cNvPicPr>
      </xdr:nvPicPr>
      <xdr:blipFill>
        <a:blip r:embed="rId6"/>
        <a:srcRect l="23231" t="2225" r="29521" b="4879"/>
        <a:stretch/>
      </xdr:blipFill>
      <xdr:spPr bwMode="auto">
        <a:xfrm>
          <a:off x="0" y="693964"/>
          <a:ext cx="3360964" cy="3605893"/>
        </a:xfrm>
        <a:prstGeom prst="rect">
          <a:avLst/>
        </a:prstGeom>
      </xdr:spPr>
    </xdr:pic>
    <xdr:clientData/>
  </xdr:twoCellAnchor>
  <xdr:twoCellAnchor editAs="oneCell">
    <xdr:from>
      <xdr:col>7</xdr:col>
      <xdr:colOff>40819</xdr:colOff>
      <xdr:row>2</xdr:row>
      <xdr:rowOff>536683</xdr:rowOff>
    </xdr:from>
    <xdr:to>
      <xdr:col>10</xdr:col>
      <xdr:colOff>585105</xdr:colOff>
      <xdr:row>2</xdr:row>
      <xdr:rowOff>3248014</xdr:rowOff>
    </xdr:to>
    <xdr:pic>
      <xdr:nvPicPr>
        <xdr:cNvPr id="119" name="Рисунок 118" descr="2-11_вид 2.jpg"/>
        <xdr:cNvPicPr>
          <a:picLocks noChangeAspect="1"/>
        </xdr:cNvPicPr>
      </xdr:nvPicPr>
      <xdr:blipFill>
        <a:blip r:embed="rId7"/>
        <a:srcRect l="19006" t="5791" r="23762" b="0"/>
        <a:stretch/>
      </xdr:blipFill>
      <xdr:spPr bwMode="auto">
        <a:xfrm>
          <a:off x="7810498" y="1053754"/>
          <a:ext cx="2775857" cy="2711331"/>
        </a:xfrm>
        <a:prstGeom prst="rect">
          <a:avLst/>
        </a:prstGeom>
      </xdr:spPr>
    </xdr:pic>
    <xdr:clientData/>
  </xdr:twoCellAnchor>
  <xdr:twoCellAnchor editAs="twoCell">
    <xdr:from>
      <xdr:col>5</xdr:col>
      <xdr:colOff>214090</xdr:colOff>
      <xdr:row>11</xdr:row>
      <xdr:rowOff>176892</xdr:rowOff>
    </xdr:from>
    <xdr:to>
      <xdr:col>5</xdr:col>
      <xdr:colOff>1574232</xdr:colOff>
      <xdr:row>11</xdr:row>
      <xdr:rowOff>598788</xdr:rowOff>
    </xdr:to>
    <xdr:pic>
      <xdr:nvPicPr>
        <xdr:cNvPr id="37" name="Picture 9"/>
        <xdr:cNvPicPr>
          <a:picLocks noChangeAspect="1" noChangeArrowheads="1"/>
        </xdr:cNvPicPr>
      </xdr:nvPicPr>
      <xdr:blipFill>
        <a:blip r:embed="rId8"/>
        <a:stretch/>
      </xdr:blipFill>
      <xdr:spPr bwMode="auto">
        <a:xfrm>
          <a:off x="5348065" y="9082767"/>
          <a:ext cx="1360142" cy="4218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92412</xdr:colOff>
      <xdr:row>12</xdr:row>
      <xdr:rowOff>176892</xdr:rowOff>
    </xdr:from>
    <xdr:to>
      <xdr:col>5</xdr:col>
      <xdr:colOff>1684641</xdr:colOff>
      <xdr:row>12</xdr:row>
      <xdr:rowOff>598714</xdr:rowOff>
    </xdr:to>
    <xdr:pic>
      <xdr:nvPicPr>
        <xdr:cNvPr id="47" name="Picture 9"/>
        <xdr:cNvPicPr>
          <a:picLocks noChangeAspect="1" noChangeArrowheads="1"/>
        </xdr:cNvPicPr>
      </xdr:nvPicPr>
      <xdr:blipFill>
        <a:blip r:embed="rId9"/>
        <a:stretch/>
      </xdr:blipFill>
      <xdr:spPr bwMode="auto">
        <a:xfrm>
          <a:off x="5222305" y="10001249"/>
          <a:ext cx="1592229" cy="4218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326571</xdr:colOff>
      <xdr:row>13</xdr:row>
      <xdr:rowOff>95250</xdr:rowOff>
    </xdr:from>
    <xdr:to>
      <xdr:col>5</xdr:col>
      <xdr:colOff>1455964</xdr:colOff>
      <xdr:row>13</xdr:row>
      <xdr:rowOff>612321</xdr:rowOff>
    </xdr:to>
    <xdr:pic>
      <xdr:nvPicPr>
        <xdr:cNvPr id="25" name="Picture 9"/>
        <xdr:cNvPicPr>
          <a:picLocks noChangeAspect="1" noChangeArrowheads="1"/>
        </xdr:cNvPicPr>
      </xdr:nvPicPr>
      <xdr:blipFill>
        <a:blip r:embed="rId10"/>
        <a:stretch/>
      </xdr:blipFill>
      <xdr:spPr bwMode="auto">
        <a:xfrm>
          <a:off x="5456464" y="11321143"/>
          <a:ext cx="1129393" cy="5170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294099</xdr:colOff>
      <xdr:row>18</xdr:row>
      <xdr:rowOff>77155</xdr:rowOff>
    </xdr:from>
    <xdr:to>
      <xdr:col>5</xdr:col>
      <xdr:colOff>1544659</xdr:colOff>
      <xdr:row>18</xdr:row>
      <xdr:rowOff>448197</xdr:rowOff>
    </xdr:to>
    <xdr:pic>
      <xdr:nvPicPr>
        <xdr:cNvPr id="26" name="Picture 9"/>
        <xdr:cNvPicPr>
          <a:picLocks noChangeAspect="1" noChangeArrowheads="1"/>
        </xdr:cNvPicPr>
      </xdr:nvPicPr>
      <xdr:blipFill>
        <a:blip r:embed="rId11"/>
        <a:stretch/>
      </xdr:blipFill>
      <xdr:spPr bwMode="auto">
        <a:xfrm rot="5400000">
          <a:off x="5867833" y="26364545"/>
          <a:ext cx="371042" cy="12505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706011</xdr:colOff>
      <xdr:row>19</xdr:row>
      <xdr:rowOff>106694</xdr:rowOff>
    </xdr:from>
    <xdr:to>
      <xdr:col>5</xdr:col>
      <xdr:colOff>1133490</xdr:colOff>
      <xdr:row>19</xdr:row>
      <xdr:rowOff>517071</xdr:rowOff>
    </xdr:to>
    <xdr:pic>
      <xdr:nvPicPr>
        <xdr:cNvPr id="27" name="Picture 9"/>
        <xdr:cNvPicPr>
          <a:picLocks noChangeAspect="1" noChangeArrowheads="1"/>
        </xdr:cNvPicPr>
      </xdr:nvPicPr>
      <xdr:blipFill>
        <a:blip r:embed="rId12"/>
        <a:stretch/>
      </xdr:blipFill>
      <xdr:spPr bwMode="auto">
        <a:xfrm>
          <a:off x="5839989" y="27357719"/>
          <a:ext cx="427477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9230</xdr:colOff>
      <xdr:row>18</xdr:row>
      <xdr:rowOff>233951</xdr:rowOff>
    </xdr:to>
    <xdr:pic>
      <xdr:nvPicPr>
        <xdr:cNvPr id="28" name="Picture 9"/>
        <xdr:cNvPicPr>
          <a:picLocks noChangeAspect="1" noChangeArrowheads="1"/>
        </xdr:cNvPicPr>
      </xdr:nvPicPr>
      <xdr:blipFill>
        <a:blip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26727150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18</xdr:row>
      <xdr:rowOff>0</xdr:rowOff>
    </xdr:from>
    <xdr:to>
      <xdr:col>11</xdr:col>
      <xdr:colOff>9230</xdr:colOff>
      <xdr:row>18</xdr:row>
      <xdr:rowOff>233951</xdr:rowOff>
    </xdr:to>
    <xdr:pic>
      <xdr:nvPicPr>
        <xdr:cNvPr id="31" name="Picture 9"/>
        <xdr:cNvPicPr>
          <a:picLocks noChangeAspect="1" noChangeArrowheads="1"/>
        </xdr:cNvPicPr>
      </xdr:nvPicPr>
      <xdr:blipFill>
        <a:blip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26727150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19</xdr:row>
      <xdr:rowOff>0</xdr:rowOff>
    </xdr:from>
    <xdr:to>
      <xdr:col>11</xdr:col>
      <xdr:colOff>9230</xdr:colOff>
      <xdr:row>19</xdr:row>
      <xdr:rowOff>233951</xdr:rowOff>
    </xdr:to>
    <xdr:pic>
      <xdr:nvPicPr>
        <xdr:cNvPr id="33" name="Picture 9"/>
        <xdr:cNvPicPr>
          <a:picLocks noChangeAspect="1" noChangeArrowheads="1"/>
        </xdr:cNvPicPr>
      </xdr:nvPicPr>
      <xdr:blipFill>
        <a:blip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27251025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19</xdr:row>
      <xdr:rowOff>0</xdr:rowOff>
    </xdr:from>
    <xdr:to>
      <xdr:col>11</xdr:col>
      <xdr:colOff>9230</xdr:colOff>
      <xdr:row>19</xdr:row>
      <xdr:rowOff>233951</xdr:rowOff>
    </xdr:to>
    <xdr:pic>
      <xdr:nvPicPr>
        <xdr:cNvPr id="41" name="Picture 9"/>
        <xdr:cNvPicPr>
          <a:picLocks noChangeAspect="1" noChangeArrowheads="1"/>
        </xdr:cNvPicPr>
      </xdr:nvPicPr>
      <xdr:blipFill>
        <a:blip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27251025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26</xdr:row>
      <xdr:rowOff>79562</xdr:rowOff>
    </xdr:from>
    <xdr:to>
      <xdr:col>5</xdr:col>
      <xdr:colOff>1332940</xdr:colOff>
      <xdr:row>26</xdr:row>
      <xdr:rowOff>774886</xdr:rowOff>
    </xdr:to>
    <xdr:pic>
      <xdr:nvPicPr>
        <xdr:cNvPr id="53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14">
          <a:grayscl/>
        </a:blip>
        <a:srcRect l="0" t="8989" r="0" b="8989"/>
        <a:stretch/>
      </xdr:blipFill>
      <xdr:spPr bwMode="auto">
        <a:xfrm>
          <a:off x="5390591" y="147802787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481854</xdr:colOff>
      <xdr:row>25</xdr:row>
      <xdr:rowOff>45945</xdr:rowOff>
    </xdr:from>
    <xdr:to>
      <xdr:col>5</xdr:col>
      <xdr:colOff>1314720</xdr:colOff>
      <xdr:row>26</xdr:row>
      <xdr:rowOff>7280</xdr:rowOff>
    </xdr:to>
    <xdr:pic>
      <xdr:nvPicPr>
        <xdr:cNvPr id="54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368179" y="146921445"/>
          <a:ext cx="832866" cy="8090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369796</xdr:colOff>
      <xdr:row>20</xdr:row>
      <xdr:rowOff>201706</xdr:rowOff>
    </xdr:from>
    <xdr:to>
      <xdr:col>5</xdr:col>
      <xdr:colOff>1411942</xdr:colOff>
      <xdr:row>20</xdr:row>
      <xdr:rowOff>268942</xdr:rowOff>
    </xdr:to>
    <xdr:sp>
      <xdr:nvSpPr>
        <xdr:cNvPr id="32" name="Прямоугольник 31"/>
        <xdr:cNvSpPr/>
      </xdr:nvSpPr>
      <xdr:spPr bwMode="auto">
        <a:xfrm>
          <a:off x="5503771" y="28738606"/>
          <a:ext cx="1042146" cy="67236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>
            <a:defRPr/>
          </a:pPr>
          <a:endParaRPr lang="ru-RU" sz="1100"/>
        </a:p>
      </xdr:txBody>
    </xdr:sp>
    <xdr:clientData/>
  </xdr:twoCellAnchor>
  <xdr:twoCellAnchor editAs="oneCell">
    <xdr:from>
      <xdr:col>10</xdr:col>
      <xdr:colOff>1114238</xdr:colOff>
      <xdr:row>20</xdr:row>
      <xdr:rowOff>0</xdr:rowOff>
    </xdr:from>
    <xdr:to>
      <xdr:col>11</xdr:col>
      <xdr:colOff>9230</xdr:colOff>
      <xdr:row>20</xdr:row>
      <xdr:rowOff>233951</xdr:rowOff>
    </xdr:to>
    <xdr:pic>
      <xdr:nvPicPr>
        <xdr:cNvPr id="34" name="Picture 9"/>
        <xdr:cNvPicPr>
          <a:picLocks noChangeAspect="1" noChangeArrowheads="1"/>
        </xdr:cNvPicPr>
      </xdr:nvPicPr>
      <xdr:blipFill>
        <a:blip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28536900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20</xdr:row>
      <xdr:rowOff>0</xdr:rowOff>
    </xdr:from>
    <xdr:to>
      <xdr:col>11</xdr:col>
      <xdr:colOff>9230</xdr:colOff>
      <xdr:row>20</xdr:row>
      <xdr:rowOff>233951</xdr:rowOff>
    </xdr:to>
    <xdr:pic>
      <xdr:nvPicPr>
        <xdr:cNvPr id="35" name="Picture 9"/>
        <xdr:cNvPicPr>
          <a:picLocks noChangeAspect="1" noChangeArrowheads="1"/>
        </xdr:cNvPicPr>
      </xdr:nvPicPr>
      <xdr:blipFill>
        <a:blip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28536900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449035</xdr:colOff>
      <xdr:row>14</xdr:row>
      <xdr:rowOff>54428</xdr:rowOff>
    </xdr:from>
    <xdr:to>
      <xdr:col>5</xdr:col>
      <xdr:colOff>1415142</xdr:colOff>
      <xdr:row>14</xdr:row>
      <xdr:rowOff>898070</xdr:rowOff>
    </xdr:to>
    <xdr:pic>
      <xdr:nvPicPr>
        <xdr:cNvPr id="40" name="Picture 9"/>
        <xdr:cNvPicPr>
          <a:picLocks noChangeAspect="1" noChangeArrowheads="1"/>
        </xdr:cNvPicPr>
      </xdr:nvPicPr>
      <xdr:blipFill>
        <a:blip r:embed="rId15"/>
        <a:stretch/>
      </xdr:blipFill>
      <xdr:spPr bwMode="auto">
        <a:xfrm>
          <a:off x="5578928" y="11321142"/>
          <a:ext cx="966107" cy="8436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340178</xdr:colOff>
      <xdr:row>15</xdr:row>
      <xdr:rowOff>163286</xdr:rowOff>
    </xdr:from>
    <xdr:to>
      <xdr:col>5</xdr:col>
      <xdr:colOff>1292678</xdr:colOff>
      <xdr:row>15</xdr:row>
      <xdr:rowOff>748393</xdr:rowOff>
    </xdr:to>
    <xdr:pic>
      <xdr:nvPicPr>
        <xdr:cNvPr id="49" name="Picture 9"/>
        <xdr:cNvPicPr>
          <a:picLocks noChangeAspect="1" noChangeArrowheads="1"/>
        </xdr:cNvPicPr>
      </xdr:nvPicPr>
      <xdr:blipFill>
        <a:blip r:embed="rId16"/>
        <a:stretch/>
      </xdr:blipFill>
      <xdr:spPr bwMode="auto">
        <a:xfrm>
          <a:off x="5470071" y="12396107"/>
          <a:ext cx="952500" cy="5851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449036</xdr:colOff>
      <xdr:row>17</xdr:row>
      <xdr:rowOff>40820</xdr:rowOff>
    </xdr:from>
    <xdr:to>
      <xdr:col>5</xdr:col>
      <xdr:colOff>1296762</xdr:colOff>
      <xdr:row>17</xdr:row>
      <xdr:rowOff>816428</xdr:rowOff>
    </xdr:to>
    <xdr:pic>
      <xdr:nvPicPr>
        <xdr:cNvPr id="56" name="Picture 9"/>
        <xdr:cNvPicPr>
          <a:picLocks noChangeAspect="1" noChangeArrowheads="1"/>
        </xdr:cNvPicPr>
      </xdr:nvPicPr>
      <xdr:blipFill>
        <a:blip r:embed="rId17"/>
        <a:stretch/>
      </xdr:blipFill>
      <xdr:spPr bwMode="auto">
        <a:xfrm>
          <a:off x="5578929" y="14205856"/>
          <a:ext cx="847726" cy="7756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217714</xdr:colOff>
      <xdr:row>16</xdr:row>
      <xdr:rowOff>27214</xdr:rowOff>
    </xdr:from>
    <xdr:to>
      <xdr:col>5</xdr:col>
      <xdr:colOff>1332138</xdr:colOff>
      <xdr:row>16</xdr:row>
      <xdr:rowOff>1164770</xdr:rowOff>
    </xdr:to>
    <xdr:pic>
      <xdr:nvPicPr>
        <xdr:cNvPr id="30" name="Рисунок 29"/>
        <xdr:cNvPicPr>
          <a:picLocks noChangeAspect="1" noChangeArrowheads="1"/>
        </xdr:cNvPicPr>
      </xdr:nvPicPr>
      <xdr:blipFill>
        <a:blip r:embed="rId18"/>
        <a:stretch/>
      </xdr:blipFill>
      <xdr:spPr bwMode="auto">
        <a:xfrm>
          <a:off x="5347607" y="13226143"/>
          <a:ext cx="1114425" cy="113755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415016</xdr:colOff>
      <xdr:row>21</xdr:row>
      <xdr:rowOff>54428</xdr:rowOff>
    </xdr:from>
    <xdr:to>
      <xdr:col>5</xdr:col>
      <xdr:colOff>1027337</xdr:colOff>
      <xdr:row>21</xdr:row>
      <xdr:rowOff>781685</xdr:rowOff>
    </xdr:to>
    <xdr:pic>
      <xdr:nvPicPr>
        <xdr:cNvPr id="39" name="Рисунок 38"/>
        <xdr:cNvPicPr>
          <a:picLocks noChangeAspect="1" noChangeArrowheads="1"/>
        </xdr:cNvPicPr>
      </xdr:nvPicPr>
      <xdr:blipFill>
        <a:blip r:embed="rId19"/>
        <a:stretch/>
      </xdr:blipFill>
      <xdr:spPr bwMode="auto">
        <a:xfrm>
          <a:off x="5548991" y="17123228"/>
          <a:ext cx="612321" cy="72725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421821</xdr:colOff>
      <xdr:row>22</xdr:row>
      <xdr:rowOff>68036</xdr:rowOff>
    </xdr:from>
    <xdr:to>
      <xdr:col>5</xdr:col>
      <xdr:colOff>1020535</xdr:colOff>
      <xdr:row>22</xdr:row>
      <xdr:rowOff>702553</xdr:rowOff>
    </xdr:to>
    <xdr:pic>
      <xdr:nvPicPr>
        <xdr:cNvPr id="42" name="Рисунок 41"/>
        <xdr:cNvPicPr>
          <a:picLocks noChangeAspect="1" noChangeArrowheads="1"/>
        </xdr:cNvPicPr>
      </xdr:nvPicPr>
      <xdr:blipFill>
        <a:blip r:embed="rId20"/>
        <a:stretch/>
      </xdr:blipFill>
      <xdr:spPr bwMode="auto">
        <a:xfrm>
          <a:off x="5551714" y="18015857"/>
          <a:ext cx="598714" cy="634518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4" zoomScale="70" workbookViewId="0">
      <selection activeCell="E15" activeCellId="0" sqref="E15"/>
    </sheetView>
  </sheetViews>
  <sheetFormatPr defaultRowHeight="14.25"/>
  <cols>
    <col customWidth="1" hidden="1" min="1" max="1" width="6.28515625"/>
    <col customWidth="1" min="2" max="2" style="1" width="7.7109375"/>
    <col customWidth="1" min="3" max="3" width="16.28515625"/>
    <col customWidth="1" min="4" max="4" style="2" width="41.28515625"/>
    <col customWidth="1" min="5" max="5" style="3" width="11.7109375"/>
    <col customWidth="1" min="6" max="6" width="26.7109375"/>
    <col customWidth="1" min="7" max="7" width="12.85546875"/>
    <col customWidth="1" min="8" max="8" width="10.140625"/>
    <col customWidth="1" min="9" max="10" width="11.7109375"/>
    <col customWidth="1" min="11" max="11" style="4" width="12.28515625"/>
    <col customWidth="1" min="12" max="12" width="10.140625"/>
    <col customWidth="1" min="13" max="13" style="4" width="18.85546875"/>
    <col customWidth="1" min="14" max="14" width="12.28515625"/>
    <col customWidth="1" min="15" max="15" width="6.5703125"/>
    <col customWidth="1" min="16" max="16" width="14.140625"/>
    <col customWidth="1" min="17" max="17" width="7.28515625"/>
    <col customWidth="1" min="18" max="18" width="10.5703125"/>
    <col customWidth="1" min="19" max="19" width="12.140625"/>
  </cols>
  <sheetData>
    <row r="1" ht="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M1" s="7"/>
    </row>
    <row r="2" ht="18.75" customHeight="1">
      <c r="A2" s="8"/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M2" s="10"/>
    </row>
    <row r="3" ht="324" customHeight="1">
      <c r="A3" s="11"/>
      <c r="B3" s="12"/>
      <c r="C3" s="11"/>
      <c r="D3" s="11"/>
      <c r="E3" s="11"/>
      <c r="F3" s="11"/>
      <c r="G3" s="11"/>
      <c r="H3" s="11"/>
      <c r="I3" s="11"/>
      <c r="J3" s="11"/>
      <c r="K3" s="13"/>
      <c r="M3" s="11"/>
    </row>
    <row r="4" ht="69" customHeight="1">
      <c r="A4" s="14"/>
      <c r="B4" s="15" t="s">
        <v>2</v>
      </c>
      <c r="C4" s="16" t="s">
        <v>3</v>
      </c>
      <c r="D4" s="17" t="s">
        <v>4</v>
      </c>
      <c r="E4" s="16" t="s">
        <v>5</v>
      </c>
      <c r="F4" s="16" t="s">
        <v>6</v>
      </c>
      <c r="G4" s="16" t="s">
        <v>7</v>
      </c>
      <c r="H4" s="18" t="s">
        <v>8</v>
      </c>
      <c r="I4" s="18" t="s">
        <v>9</v>
      </c>
      <c r="J4" s="18" t="s">
        <v>10</v>
      </c>
      <c r="K4" s="19" t="s">
        <v>11</v>
      </c>
      <c r="L4" s="20" t="s">
        <v>12</v>
      </c>
      <c r="M4" s="21" t="s">
        <v>13</v>
      </c>
      <c r="N4" s="22" t="s">
        <v>14</v>
      </c>
      <c r="O4" s="23" t="s">
        <v>15</v>
      </c>
      <c r="P4" s="22" t="s">
        <v>16</v>
      </c>
      <c r="Q4" s="23" t="s">
        <v>17</v>
      </c>
      <c r="R4" t="s">
        <v>18</v>
      </c>
      <c r="S4" t="s">
        <v>19</v>
      </c>
      <c r="T4" t="s">
        <v>20</v>
      </c>
      <c r="U4" t="s">
        <v>21</v>
      </c>
    </row>
    <row r="5" ht="15">
      <c r="A5" s="24"/>
      <c r="B5" s="25" t="s">
        <v>22</v>
      </c>
      <c r="C5" s="26"/>
      <c r="D5" s="26"/>
      <c r="E5" s="26"/>
      <c r="F5" s="26"/>
      <c r="G5" s="26"/>
      <c r="H5" s="26"/>
      <c r="I5" s="26"/>
      <c r="J5" s="26"/>
      <c r="K5" s="27"/>
      <c r="L5" s="28"/>
      <c r="M5" s="29"/>
      <c r="N5" s="30"/>
      <c r="O5" s="30"/>
      <c r="P5" s="30"/>
      <c r="Q5" s="30"/>
    </row>
    <row r="6" s="31" customFormat="1" ht="24" customHeight="1">
      <c r="A6" s="24"/>
      <c r="B6" s="32">
        <v>1</v>
      </c>
      <c r="C6" s="33" t="s">
        <v>23</v>
      </c>
      <c r="D6" s="34" t="s">
        <v>24</v>
      </c>
      <c r="E6" s="35">
        <v>6</v>
      </c>
      <c r="F6" s="36"/>
      <c r="G6" s="37">
        <v>8014</v>
      </c>
      <c r="H6" s="36">
        <v>1</v>
      </c>
      <c r="I6" s="36">
        <v>0.10000000000000001</v>
      </c>
      <c r="J6" s="36">
        <v>0.10000000000000001</v>
      </c>
      <c r="K6" s="38">
        <f t="shared" ref="K6:K8" si="0">H6*I6*J6</f>
        <v>0.010000000000000002</v>
      </c>
      <c r="L6" s="39">
        <f t="shared" ref="L6:L27" si="1">K6*E6</f>
        <v>0.060000000000000012</v>
      </c>
      <c r="M6" s="40"/>
      <c r="N6" s="41"/>
      <c r="O6" s="41"/>
      <c r="P6" s="41"/>
      <c r="Q6" s="41"/>
    </row>
    <row r="7" s="31" customFormat="1" ht="24" customHeight="1">
      <c r="A7" s="24"/>
      <c r="B7" s="32">
        <v>2</v>
      </c>
      <c r="C7" s="42" t="s">
        <v>25</v>
      </c>
      <c r="D7" s="34" t="s">
        <v>26</v>
      </c>
      <c r="E7" s="35">
        <v>2</v>
      </c>
      <c r="F7" s="36"/>
      <c r="G7" s="37">
        <v>8014</v>
      </c>
      <c r="H7" s="36">
        <v>1.7</v>
      </c>
      <c r="I7" s="36">
        <v>0.10000000000000001</v>
      </c>
      <c r="J7" s="36">
        <v>0.10000000000000001</v>
      </c>
      <c r="K7" s="38">
        <f t="shared" si="0"/>
        <v>0.017000000000000001</v>
      </c>
      <c r="L7" s="39">
        <f t="shared" si="1"/>
        <v>0.034000000000000002</v>
      </c>
      <c r="M7" s="40"/>
      <c r="N7" s="41"/>
      <c r="O7" s="41"/>
      <c r="P7" s="41"/>
      <c r="Q7" s="41"/>
    </row>
    <row r="8" s="31" customFormat="1" ht="63.75" customHeight="1">
      <c r="A8" s="43"/>
      <c r="B8" s="32">
        <v>3</v>
      </c>
      <c r="C8" s="44" t="s">
        <v>27</v>
      </c>
      <c r="D8" s="45" t="s">
        <v>28</v>
      </c>
      <c r="E8" s="46">
        <v>8</v>
      </c>
      <c r="F8" s="46"/>
      <c r="G8" s="47">
        <v>7047</v>
      </c>
      <c r="H8" s="46">
        <v>0.074999999999999997</v>
      </c>
      <c r="I8" s="46">
        <v>0.074999999999999997</v>
      </c>
      <c r="J8" s="46">
        <v>0.26000000000000001</v>
      </c>
      <c r="K8" s="48">
        <f t="shared" si="0"/>
        <v>0.0014625</v>
      </c>
      <c r="L8" s="39">
        <f t="shared" si="1"/>
        <v>0.0117</v>
      </c>
      <c r="M8" s="49" t="s">
        <v>29</v>
      </c>
      <c r="N8" s="22">
        <v>4</v>
      </c>
      <c r="O8" s="22">
        <f t="shared" ref="O8:O27" si="2">N8*E8</f>
        <v>32</v>
      </c>
      <c r="P8" s="22"/>
      <c r="Q8" s="22">
        <f t="shared" ref="Q8:Q27" si="3">P8*E8</f>
        <v>0</v>
      </c>
      <c r="R8" s="31">
        <f>E8*3</f>
        <v>24</v>
      </c>
    </row>
    <row r="9" ht="15">
      <c r="A9" s="50"/>
      <c r="B9" s="25" t="s">
        <v>30</v>
      </c>
      <c r="C9" s="26"/>
      <c r="D9" s="26"/>
      <c r="E9" s="26"/>
      <c r="F9" s="26"/>
      <c r="G9" s="26"/>
      <c r="H9" s="26"/>
      <c r="I9" s="26"/>
      <c r="J9" s="26"/>
      <c r="K9" s="27"/>
      <c r="L9" s="39">
        <f t="shared" si="1"/>
        <v>0</v>
      </c>
      <c r="M9" s="29"/>
      <c r="N9" s="30"/>
      <c r="O9" s="22">
        <f t="shared" si="2"/>
        <v>0</v>
      </c>
      <c r="P9" s="30"/>
      <c r="Q9" s="22">
        <f t="shared" si="3"/>
        <v>0</v>
      </c>
    </row>
    <row r="10" s="31" customFormat="1" ht="63.75" customHeight="1">
      <c r="A10" s="51" t="s">
        <v>31</v>
      </c>
      <c r="B10" s="52">
        <v>4</v>
      </c>
      <c r="C10" s="53" t="s">
        <v>32</v>
      </c>
      <c r="D10" s="54" t="s">
        <v>33</v>
      </c>
      <c r="E10" s="55">
        <v>3</v>
      </c>
      <c r="F10" s="55"/>
      <c r="G10" s="56">
        <v>6018</v>
      </c>
      <c r="H10" s="55">
        <v>0.80000000000000004</v>
      </c>
      <c r="I10" s="55">
        <v>0.29999999999999999</v>
      </c>
      <c r="J10" s="55">
        <v>0.021000000000000001</v>
      </c>
      <c r="K10" s="57">
        <f t="shared" ref="K10:K21" si="4">H10*I10*J10</f>
        <v>0.0050400000000000002</v>
      </c>
      <c r="L10" s="39">
        <f t="shared" si="1"/>
        <v>0.015120000000000001</v>
      </c>
      <c r="M10" s="49" t="s">
        <v>34</v>
      </c>
      <c r="N10" s="41">
        <v>4</v>
      </c>
      <c r="O10" s="22">
        <f t="shared" si="2"/>
        <v>12</v>
      </c>
      <c r="P10" s="41"/>
      <c r="Q10" s="22">
        <f t="shared" si="3"/>
        <v>0</v>
      </c>
      <c r="S10" s="31">
        <f t="shared" ref="S10:S11" si="5">E10*4</f>
        <v>12</v>
      </c>
    </row>
    <row r="11" s="31" customFormat="1" ht="63" customHeight="1">
      <c r="A11" s="58"/>
      <c r="B11" s="59">
        <v>5</v>
      </c>
      <c r="C11" s="53" t="s">
        <v>35</v>
      </c>
      <c r="D11" s="54" t="s">
        <v>36</v>
      </c>
      <c r="E11" s="54">
        <v>4</v>
      </c>
      <c r="F11" s="54"/>
      <c r="G11" s="60">
        <v>5017</v>
      </c>
      <c r="H11" s="54">
        <v>0.87</v>
      </c>
      <c r="I11" s="54">
        <v>0.29999999999999999</v>
      </c>
      <c r="J11" s="54">
        <v>0.021000000000000001</v>
      </c>
      <c r="K11" s="61">
        <f t="shared" si="4"/>
        <v>0.0054810000000000006</v>
      </c>
      <c r="L11" s="39">
        <f t="shared" si="1"/>
        <v>0.021924000000000003</v>
      </c>
      <c r="M11" s="62"/>
      <c r="N11" s="41"/>
      <c r="O11" s="22">
        <f t="shared" si="2"/>
        <v>0</v>
      </c>
      <c r="P11" s="41"/>
      <c r="Q11" s="22">
        <f t="shared" si="3"/>
        <v>0</v>
      </c>
      <c r="S11" s="31">
        <f t="shared" si="5"/>
        <v>16</v>
      </c>
    </row>
    <row r="12" s="31" customFormat="1" ht="63" customHeight="1">
      <c r="A12" s="58"/>
      <c r="B12" s="52">
        <v>6</v>
      </c>
      <c r="C12" s="53" t="s">
        <v>37</v>
      </c>
      <c r="D12" s="54" t="s">
        <v>38</v>
      </c>
      <c r="E12" s="54">
        <v>3</v>
      </c>
      <c r="F12" s="54"/>
      <c r="G12" s="63">
        <v>5017</v>
      </c>
      <c r="H12" s="54">
        <v>0.80000000000000004</v>
      </c>
      <c r="I12" s="54">
        <v>0.29999999999999999</v>
      </c>
      <c r="J12" s="54">
        <v>0.021000000000000001</v>
      </c>
      <c r="K12" s="61">
        <f t="shared" si="4"/>
        <v>0.0050400000000000002</v>
      </c>
      <c r="L12" s="39">
        <f t="shared" si="1"/>
        <v>0.015120000000000001</v>
      </c>
      <c r="M12" s="62"/>
      <c r="N12" s="41"/>
      <c r="O12" s="22">
        <f t="shared" ref="O12:O19" si="6">N12*E12</f>
        <v>0</v>
      </c>
      <c r="P12" s="41"/>
      <c r="Q12" s="22">
        <f t="shared" si="3"/>
        <v>0</v>
      </c>
      <c r="S12" s="31">
        <f t="shared" ref="S12:S19" si="7">E12*2</f>
        <v>6</v>
      </c>
    </row>
    <row r="13" s="31" customFormat="1" ht="63" customHeight="1">
      <c r="A13" s="58"/>
      <c r="B13" s="59">
        <v>7</v>
      </c>
      <c r="C13" s="53" t="s">
        <v>39</v>
      </c>
      <c r="D13" s="54" t="s">
        <v>40</v>
      </c>
      <c r="E13" s="54">
        <v>4</v>
      </c>
      <c r="F13" s="54"/>
      <c r="G13" s="56">
        <v>6018</v>
      </c>
      <c r="H13" s="54">
        <v>2</v>
      </c>
      <c r="I13" s="54">
        <v>0.29999999999999999</v>
      </c>
      <c r="J13" s="54">
        <v>0.021000000000000001</v>
      </c>
      <c r="K13" s="61">
        <f t="shared" si="4"/>
        <v>0.0126</v>
      </c>
      <c r="L13" s="39">
        <f t="shared" si="1"/>
        <v>0.0504</v>
      </c>
      <c r="M13" s="62"/>
      <c r="N13" s="41"/>
      <c r="O13" s="22">
        <f t="shared" si="6"/>
        <v>0</v>
      </c>
      <c r="P13" s="41"/>
      <c r="Q13" s="22">
        <f t="shared" si="3"/>
        <v>0</v>
      </c>
      <c r="S13" s="31">
        <f t="shared" si="7"/>
        <v>8</v>
      </c>
    </row>
    <row r="14" s="31" customFormat="1" ht="56.25" customHeight="1">
      <c r="A14" s="58"/>
      <c r="B14" s="52">
        <v>8</v>
      </c>
      <c r="C14" s="53" t="s">
        <v>41</v>
      </c>
      <c r="D14" s="54" t="s">
        <v>42</v>
      </c>
      <c r="E14" s="54">
        <v>1</v>
      </c>
      <c r="F14" s="54"/>
      <c r="G14" s="64">
        <v>6018</v>
      </c>
      <c r="H14" s="54">
        <v>0.80000000000000004</v>
      </c>
      <c r="I14" s="54">
        <v>0.29999999999999999</v>
      </c>
      <c r="J14" s="54">
        <v>0.021000000000000001</v>
      </c>
      <c r="K14" s="61">
        <f t="shared" si="4"/>
        <v>0.0050400000000000002</v>
      </c>
      <c r="L14" s="39">
        <f t="shared" si="1"/>
        <v>0.0050400000000000002</v>
      </c>
      <c r="M14" s="49" t="s">
        <v>34</v>
      </c>
      <c r="N14" s="41">
        <v>4</v>
      </c>
      <c r="O14" s="22">
        <f t="shared" si="6"/>
        <v>4</v>
      </c>
      <c r="P14" s="41"/>
      <c r="Q14" s="22">
        <f t="shared" ref="Q14:Q20" si="8">P14*E14</f>
        <v>0</v>
      </c>
      <c r="S14" s="31">
        <v>3</v>
      </c>
    </row>
    <row r="15" s="31" customFormat="1" ht="76.5" customHeight="1">
      <c r="A15" s="65"/>
      <c r="B15" s="59">
        <v>9</v>
      </c>
      <c r="C15" s="66" t="s">
        <v>43</v>
      </c>
      <c r="D15" s="54" t="s">
        <v>44</v>
      </c>
      <c r="E15" s="54">
        <v>1</v>
      </c>
      <c r="F15" s="54"/>
      <c r="G15" s="67">
        <v>2008</v>
      </c>
      <c r="H15" s="54">
        <v>0.80000000000000004</v>
      </c>
      <c r="I15" s="54">
        <v>0.69999999999999996</v>
      </c>
      <c r="J15" s="54">
        <v>0.021000000000000001</v>
      </c>
      <c r="K15" s="68">
        <v>0.0083999999999999995</v>
      </c>
      <c r="L15" s="39">
        <f t="shared" si="1"/>
        <v>0.0083999999999999995</v>
      </c>
      <c r="M15" s="49" t="s">
        <v>34</v>
      </c>
      <c r="N15" s="41">
        <v>4</v>
      </c>
      <c r="O15" s="22">
        <f t="shared" si="6"/>
        <v>4</v>
      </c>
      <c r="P15" s="41"/>
      <c r="Q15" s="22">
        <f t="shared" si="8"/>
        <v>0</v>
      </c>
      <c r="S15" s="31">
        <v>4</v>
      </c>
    </row>
    <row r="16" s="31" customFormat="1" ht="76.5" customHeight="1">
      <c r="A16" s="65"/>
      <c r="B16" s="52">
        <v>10</v>
      </c>
      <c r="C16" s="66" t="s">
        <v>45</v>
      </c>
      <c r="D16" s="54" t="s">
        <v>46</v>
      </c>
      <c r="E16" s="54">
        <v>2</v>
      </c>
      <c r="F16" s="54"/>
      <c r="G16" s="69">
        <v>7047</v>
      </c>
      <c r="H16" s="41">
        <v>0.55000000000000004</v>
      </c>
      <c r="I16" s="41">
        <v>0.10000000000000001</v>
      </c>
      <c r="J16" s="41">
        <v>0.014999999999999999</v>
      </c>
      <c r="K16" s="70">
        <v>0.0008250000000000001</v>
      </c>
      <c r="L16" s="39">
        <f t="shared" si="1"/>
        <v>0.0016500000000000002</v>
      </c>
      <c r="M16" s="49" t="s">
        <v>47</v>
      </c>
      <c r="N16" s="41"/>
      <c r="O16" s="22"/>
      <c r="P16" s="41">
        <v>3</v>
      </c>
      <c r="Q16" s="22">
        <f t="shared" si="8"/>
        <v>6</v>
      </c>
      <c r="U16" s="31">
        <v>6</v>
      </c>
    </row>
    <row r="17" s="31" customFormat="1" ht="101.25" customHeight="1">
      <c r="A17" s="65"/>
      <c r="B17" s="59">
        <v>11</v>
      </c>
      <c r="C17" s="53" t="s">
        <v>48</v>
      </c>
      <c r="D17" s="54" t="s">
        <v>49</v>
      </c>
      <c r="E17" s="54">
        <v>1</v>
      </c>
      <c r="F17" s="71"/>
      <c r="G17" s="72">
        <v>2008</v>
      </c>
      <c r="H17" s="73">
        <v>0.42999999999999999</v>
      </c>
      <c r="I17" s="73">
        <v>0.57299999999999995</v>
      </c>
      <c r="J17" s="73">
        <v>0.014999999999999999</v>
      </c>
      <c r="K17" s="74">
        <v>0.0036958499999999992</v>
      </c>
      <c r="L17" s="39">
        <f t="shared" si="1"/>
        <v>0.0036958499999999992</v>
      </c>
      <c r="M17" s="49" t="s">
        <v>50</v>
      </c>
      <c r="N17" s="41">
        <v>2</v>
      </c>
      <c r="O17" s="22"/>
      <c r="P17" s="41"/>
      <c r="Q17" s="22">
        <f t="shared" si="8"/>
        <v>0</v>
      </c>
      <c r="S17" s="31">
        <v>4</v>
      </c>
    </row>
    <row r="18" s="31" customFormat="1" ht="76.5" customHeight="1">
      <c r="A18" s="65"/>
      <c r="B18" s="52">
        <v>12</v>
      </c>
      <c r="C18" s="66" t="s">
        <v>51</v>
      </c>
      <c r="D18" s="75" t="s">
        <v>52</v>
      </c>
      <c r="E18" s="54">
        <v>1</v>
      </c>
      <c r="F18" s="54"/>
      <c r="G18" s="69">
        <v>7047</v>
      </c>
      <c r="H18" s="41">
        <v>0.44</v>
      </c>
      <c r="I18" s="41">
        <v>0.35099999999999998</v>
      </c>
      <c r="J18" s="41">
        <v>0.014999999999999999</v>
      </c>
      <c r="K18" s="70">
        <v>0.0018532799999999999</v>
      </c>
      <c r="L18" s="39">
        <f t="shared" si="1"/>
        <v>0.0018532799999999999</v>
      </c>
      <c r="M18" s="49" t="s">
        <v>47</v>
      </c>
      <c r="N18" s="41"/>
      <c r="O18" s="22"/>
      <c r="P18" s="41">
        <v>3</v>
      </c>
      <c r="Q18" s="22">
        <f t="shared" si="8"/>
        <v>3</v>
      </c>
      <c r="U18" s="31">
        <v>3</v>
      </c>
    </row>
    <row r="19" s="31" customFormat="1" ht="41.25" customHeight="1">
      <c r="A19" s="76"/>
      <c r="B19" s="59">
        <v>13</v>
      </c>
      <c r="C19" s="53" t="s">
        <v>53</v>
      </c>
      <c r="D19" s="54" t="s">
        <v>54</v>
      </c>
      <c r="E19" s="54">
        <v>4</v>
      </c>
      <c r="F19" s="54"/>
      <c r="G19" s="77">
        <v>3020</v>
      </c>
      <c r="H19" s="73">
        <v>0.40000000000000002</v>
      </c>
      <c r="I19" s="73">
        <v>0.080000000000000002</v>
      </c>
      <c r="J19" s="73">
        <v>0.021000000000000001</v>
      </c>
      <c r="K19" s="78">
        <f t="shared" si="4"/>
        <v>0.00067200000000000007</v>
      </c>
      <c r="L19" s="39">
        <f t="shared" si="1"/>
        <v>0.0026880000000000003</v>
      </c>
      <c r="M19" s="49" t="s">
        <v>50</v>
      </c>
      <c r="N19" s="73">
        <v>2</v>
      </c>
      <c r="O19" s="73">
        <f t="shared" si="6"/>
        <v>8</v>
      </c>
      <c r="P19" s="73"/>
      <c r="Q19" s="73">
        <f t="shared" si="8"/>
        <v>0</v>
      </c>
      <c r="S19" s="31">
        <f t="shared" si="7"/>
        <v>8</v>
      </c>
    </row>
    <row r="20" s="31" customFormat="1" ht="45.75" customHeight="1">
      <c r="A20" s="76"/>
      <c r="B20" s="52">
        <v>14</v>
      </c>
      <c r="C20" s="53" t="s">
        <v>55</v>
      </c>
      <c r="D20" s="54" t="s">
        <v>56</v>
      </c>
      <c r="E20" s="54">
        <v>40</v>
      </c>
      <c r="F20" s="54"/>
      <c r="G20" s="34" t="s">
        <v>57</v>
      </c>
      <c r="H20" s="73">
        <v>0.11</v>
      </c>
      <c r="I20" s="73">
        <v>0.11</v>
      </c>
      <c r="J20" s="73">
        <v>0.021000000000000001</v>
      </c>
      <c r="K20" s="79">
        <f t="shared" si="4"/>
        <v>0.0002541</v>
      </c>
      <c r="L20" s="39">
        <f t="shared" si="1"/>
        <v>0.010163999999999999</v>
      </c>
      <c r="M20" s="40"/>
      <c r="N20" s="73"/>
      <c r="O20" s="73"/>
      <c r="P20" s="73"/>
      <c r="Q20" s="73">
        <f t="shared" si="8"/>
        <v>0</v>
      </c>
    </row>
    <row r="21" s="31" customFormat="1" ht="42.75" customHeight="1">
      <c r="A21" s="80"/>
      <c r="B21" s="59">
        <v>15</v>
      </c>
      <c r="C21" s="53" t="s">
        <v>58</v>
      </c>
      <c r="D21" s="54" t="s">
        <v>59</v>
      </c>
      <c r="E21" s="34">
        <v>4</v>
      </c>
      <c r="F21" s="54"/>
      <c r="G21" s="81">
        <v>7047</v>
      </c>
      <c r="H21" s="73">
        <v>0.59999999999999998</v>
      </c>
      <c r="I21" s="73">
        <v>0.021000000000000001</v>
      </c>
      <c r="J21" s="73">
        <v>0.20999999999999999</v>
      </c>
      <c r="K21" s="79">
        <f t="shared" si="4"/>
        <v>0.0026459999999999999</v>
      </c>
      <c r="L21" s="39">
        <f t="shared" si="1"/>
        <v>0.010584</v>
      </c>
      <c r="M21" s="40"/>
      <c r="N21" s="82"/>
      <c r="O21" s="73"/>
      <c r="P21" s="73"/>
      <c r="Q21" s="73"/>
    </row>
    <row r="22" s="31" customFormat="1" ht="65.25" customHeight="1">
      <c r="A22" s="83"/>
      <c r="B22" s="52">
        <v>16</v>
      </c>
      <c r="C22" s="84" t="s">
        <v>60</v>
      </c>
      <c r="D22" s="42" t="s">
        <v>61</v>
      </c>
      <c r="E22" s="54">
        <v>25</v>
      </c>
      <c r="F22" s="85"/>
      <c r="G22" s="69">
        <v>7047</v>
      </c>
      <c r="H22" s="54"/>
      <c r="I22" s="54"/>
      <c r="J22" s="54"/>
      <c r="K22" s="86"/>
      <c r="L22" s="39">
        <f t="shared" si="1"/>
        <v>0</v>
      </c>
      <c r="M22" s="49" t="s">
        <v>62</v>
      </c>
      <c r="N22" s="22"/>
      <c r="O22" s="22">
        <f t="shared" si="2"/>
        <v>0</v>
      </c>
      <c r="P22" s="22">
        <v>2</v>
      </c>
      <c r="Q22" s="22">
        <f t="shared" si="3"/>
        <v>50</v>
      </c>
      <c r="T22" s="31">
        <v>50</v>
      </c>
    </row>
    <row r="23" s="31" customFormat="1" ht="65.25" customHeight="1">
      <c r="A23" s="87"/>
      <c r="B23" s="59">
        <v>17</v>
      </c>
      <c r="C23" s="84" t="s">
        <v>63</v>
      </c>
      <c r="D23" s="42" t="s">
        <v>64</v>
      </c>
      <c r="E23" s="54">
        <v>16</v>
      </c>
      <c r="F23" s="85"/>
      <c r="G23" s="47">
        <v>7047</v>
      </c>
      <c r="H23" s="46"/>
      <c r="I23" s="46"/>
      <c r="J23" s="46"/>
      <c r="K23" s="48"/>
      <c r="L23" s="39">
        <f t="shared" si="1"/>
        <v>0</v>
      </c>
      <c r="M23" s="49" t="s">
        <v>62</v>
      </c>
      <c r="N23" s="22"/>
      <c r="O23" s="22">
        <f>N23*E23</f>
        <v>0</v>
      </c>
      <c r="P23" s="22">
        <v>2</v>
      </c>
      <c r="Q23" s="22">
        <f>P23*E23</f>
        <v>32</v>
      </c>
      <c r="T23" s="31">
        <v>16</v>
      </c>
    </row>
    <row r="24" s="31" customFormat="1" ht="25.5" customHeight="1">
      <c r="A24" s="50"/>
      <c r="B24" s="88" t="s">
        <v>65</v>
      </c>
      <c r="C24" s="89"/>
      <c r="D24" s="89"/>
      <c r="E24" s="90"/>
      <c r="F24" s="90"/>
      <c r="G24" s="89"/>
      <c r="H24" s="89"/>
      <c r="I24" s="89"/>
      <c r="J24" s="89"/>
      <c r="K24" s="91"/>
      <c r="L24" s="39">
        <f t="shared" si="1"/>
        <v>0</v>
      </c>
      <c r="M24" s="92"/>
      <c r="N24" s="22"/>
      <c r="O24" s="22">
        <f t="shared" si="2"/>
        <v>0</v>
      </c>
      <c r="P24" s="22"/>
      <c r="Q24" s="22">
        <f t="shared" si="3"/>
        <v>0</v>
      </c>
    </row>
    <row r="25" ht="58.5" customHeight="1">
      <c r="A25" s="93"/>
      <c r="B25" s="52">
        <v>18</v>
      </c>
      <c r="C25" s="42" t="s">
        <v>66</v>
      </c>
      <c r="D25" s="42" t="s">
        <v>67</v>
      </c>
      <c r="E25" s="94">
        <v>91</v>
      </c>
      <c r="F25" s="95"/>
      <c r="G25" s="96" t="s">
        <v>68</v>
      </c>
      <c r="H25" s="96">
        <v>0.027</v>
      </c>
      <c r="I25" s="96">
        <v>0.027</v>
      </c>
      <c r="J25" s="96">
        <v>0.016</v>
      </c>
      <c r="K25" s="97">
        <v>1.1663999999999999e-05</v>
      </c>
      <c r="L25" s="39">
        <f t="shared" si="1"/>
        <v>0.0010614239999999998</v>
      </c>
      <c r="M25" s="98"/>
      <c r="N25" s="30"/>
      <c r="O25" s="22">
        <f t="shared" si="2"/>
        <v>0</v>
      </c>
      <c r="P25" s="30"/>
      <c r="Q25" s="22">
        <f t="shared" si="3"/>
        <v>0</v>
      </c>
    </row>
    <row r="26" ht="73.5" customHeight="1">
      <c r="A26" s="93"/>
      <c r="B26" s="54">
        <v>19</v>
      </c>
      <c r="C26" s="42" t="s">
        <v>66</v>
      </c>
      <c r="D26" s="42" t="s">
        <v>69</v>
      </c>
      <c r="E26" s="29">
        <v>60</v>
      </c>
      <c r="F26" s="99"/>
      <c r="G26" s="100" t="s">
        <v>68</v>
      </c>
      <c r="H26" s="100">
        <v>0.035999999999999997</v>
      </c>
      <c r="I26" s="100">
        <v>0.035999999999999997</v>
      </c>
      <c r="J26" s="100">
        <v>0.023</v>
      </c>
      <c r="K26" s="101">
        <v>2.9807999999999996e-05</v>
      </c>
      <c r="L26" s="39">
        <f t="shared" si="1"/>
        <v>0.0017884799999999998</v>
      </c>
      <c r="M26" s="98"/>
      <c r="N26" s="30"/>
      <c r="O26" s="22">
        <f t="shared" si="2"/>
        <v>0</v>
      </c>
      <c r="P26" s="30"/>
      <c r="Q26" s="22">
        <f t="shared" si="3"/>
        <v>0</v>
      </c>
    </row>
    <row r="27" ht="66.75" customHeight="1">
      <c r="A27" s="102"/>
      <c r="B27" s="103">
        <v>20</v>
      </c>
      <c r="C27" s="44" t="s">
        <v>70</v>
      </c>
      <c r="D27" s="44" t="s">
        <v>71</v>
      </c>
      <c r="E27" s="104">
        <v>8</v>
      </c>
      <c r="F27" s="105"/>
      <c r="G27" s="106" t="s">
        <v>68</v>
      </c>
      <c r="H27" s="107">
        <v>0.10000000000000001</v>
      </c>
      <c r="I27" s="107">
        <v>0.10000000000000001</v>
      </c>
      <c r="J27" s="107">
        <v>0.043999999999999997</v>
      </c>
      <c r="K27" s="108">
        <v>0.00035639999999999994</v>
      </c>
      <c r="L27" s="39">
        <f t="shared" si="1"/>
        <v>0.0028511999999999995</v>
      </c>
      <c r="M27" s="98"/>
      <c r="N27" s="30"/>
      <c r="O27" s="22">
        <f t="shared" si="2"/>
        <v>0</v>
      </c>
      <c r="P27" s="30"/>
      <c r="Q27" s="22">
        <f t="shared" si="3"/>
        <v>0</v>
      </c>
      <c r="R27">
        <v>8</v>
      </c>
    </row>
    <row r="28">
      <c r="L28" s="109">
        <f>SUM(L6:L27)</f>
        <v>0.25804023399999998</v>
      </c>
      <c r="O28" s="110">
        <f>SUM(O8:O27)</f>
        <v>60</v>
      </c>
      <c r="P28" s="110"/>
      <c r="Q28" s="110">
        <f>SUM(Q8:Q27)</f>
        <v>91</v>
      </c>
      <c r="R28">
        <f>SUM(R8:R27)</f>
        <v>32</v>
      </c>
      <c r="S28">
        <f>SUM(S8:S27)</f>
        <v>61</v>
      </c>
      <c r="T28" s="110">
        <f>SUM(T8:T27)</f>
        <v>66</v>
      </c>
      <c r="U28" s="110">
        <f>SUM(U8:U27)</f>
        <v>9</v>
      </c>
    </row>
    <row r="29">
      <c r="R29" t="s">
        <v>18</v>
      </c>
      <c r="S29" t="s">
        <v>19</v>
      </c>
      <c r="T29" t="s">
        <v>20</v>
      </c>
      <c r="U29" t="s">
        <v>21</v>
      </c>
    </row>
  </sheetData>
  <mergeCells count="7">
    <mergeCell ref="A1:K1"/>
    <mergeCell ref="B2:K2"/>
    <mergeCell ref="B3:K3"/>
    <mergeCell ref="B5:K5"/>
    <mergeCell ref="B9:K9"/>
    <mergeCell ref="A10:A13"/>
    <mergeCell ref="B24:K24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33" firstPageNumber="1" fitToWidth="1" fitToHeight="0" pageOrder="downThenOver" orientation="portrait" usePrinterDefaults="1" blackAndWhite="0" draft="0" cellComments="none" useFirstPageNumber="1" errors="displayed" horizontalDpi="60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Офис ПК Модуль (СР)</cp:lastModifiedBy>
  <cp:revision>3</cp:revision>
  <dcterms:created xsi:type="dcterms:W3CDTF">2017-04-27T07:18:00Z</dcterms:created>
  <dcterms:modified xsi:type="dcterms:W3CDTF">2024-06-10T13:57:15Z</dcterms:modified>
</cp:coreProperties>
</file>