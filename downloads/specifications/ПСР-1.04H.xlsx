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srv-main.kaluga.happymaf.ru\MainShare\Спецификации (новые)\"/>
    </mc:Choice>
  </mc:AlternateContent>
  <xr:revisionPtr revIDLastSave="0" documentId="13_ncr:1_{4B1D8610-2E97-4B2B-9830-4A63E2DB80D9}" xr6:coauthVersionLast="47" xr6:coauthVersionMax="47" xr10:uidLastSave="{00000000-0000-0000-0000-000000000000}"/>
  <bookViews>
    <workbookView xWindow="-22260" yWindow="1020" windowWidth="20295" windowHeight="16875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1" l="1"/>
  <c r="U14" i="1"/>
  <c r="U9" i="1"/>
  <c r="K9" i="1"/>
  <c r="K14" i="1"/>
  <c r="L14" i="1"/>
  <c r="U16" i="1"/>
  <c r="R16" i="1"/>
  <c r="U15" i="1"/>
  <c r="R15" i="1"/>
  <c r="T13" i="1"/>
  <c r="L13" i="1"/>
  <c r="K13" i="1"/>
  <c r="U13" i="1" s="1"/>
  <c r="T12" i="1"/>
  <c r="L12" i="1"/>
  <c r="K12" i="1"/>
  <c r="U12" i="1" s="1"/>
  <c r="T11" i="1"/>
  <c r="L11" i="1"/>
  <c r="K11" i="1"/>
  <c r="U11" i="1" s="1"/>
  <c r="T10" i="1"/>
  <c r="L10" i="1"/>
  <c r="K10" i="1"/>
  <c r="U10" i="1" s="1"/>
  <c r="T8" i="1"/>
  <c r="L8" i="1"/>
  <c r="K8" i="1"/>
  <c r="U8" i="1" s="1"/>
  <c r="U7" i="1"/>
  <c r="T7" i="1"/>
  <c r="T6" i="1"/>
  <c r="L6" i="1"/>
  <c r="K6" i="1"/>
  <c r="U6" i="1" s="1"/>
  <c r="U5" i="1"/>
  <c r="K18" i="1" l="1"/>
</calcChain>
</file>

<file path=xl/sharedStrings.xml><?xml version="1.0" encoding="utf-8"?>
<sst xmlns="http://schemas.openxmlformats.org/spreadsheetml/2006/main" count="46" uniqueCount="42">
  <si>
    <t>Размер 1,76 х 1,76 х 0,44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</si>
  <si>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</si>
  <si>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</si>
  <si>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</si>
  <si>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</si>
  <si>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</si>
  <si>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</si>
  <si>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</si>
  <si>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</si>
  <si>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</si>
  <si>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</si>
  <si>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Площадь окрашиваемой поверхности, м2</t>
  </si>
  <si>
    <t>Метизы крепления на 1 комплектующую</t>
  </si>
  <si>
    <t>0002МП</t>
  </si>
  <si>
    <t>Закладная для песочницы (уголок 50х50х500)</t>
  </si>
  <si>
    <t xml:space="preserve">Болт мебельный М8х40 - 4 шт.                               Шайба м8 увел. - 4 шт.                    Гайка м8 - 4 шт     </t>
  </si>
  <si>
    <t>0001МП</t>
  </si>
  <si>
    <t>Ручка песочницы ПСР-1.04</t>
  </si>
  <si>
    <t>0003МП</t>
  </si>
  <si>
    <t>Уголок 55х55х40</t>
  </si>
  <si>
    <t xml:space="preserve">Болт мебельный М6х40 - 2 шт.                               Шайба м8 увел. - 2 шт.                    Гайка м6 - 2 шт     </t>
  </si>
  <si>
    <t>Борт верхний (песочницы)
1707 x 145 x 21</t>
  </si>
  <si>
    <t xml:space="preserve">Борт боковой (песочницы)
760 x 236 x 21 </t>
  </si>
  <si>
    <t xml:space="preserve">Соединитель бортов (песочницы)
300 x 200 x 15  </t>
  </si>
  <si>
    <t xml:space="preserve">Болт мебельный М6х50 - 4 шт.                               Шайба м8 увел. - 4 шт.                    Гайка м6 - 4 шт     </t>
  </si>
  <si>
    <t xml:space="preserve">Столик угловой (песочницы)
411 x 411 x 15  </t>
  </si>
  <si>
    <t xml:space="preserve">Крышка (песочницы)
1590 x 875 x 15 </t>
  </si>
  <si>
    <t>КЧМ6КС</t>
  </si>
  <si>
    <t>Заглушка К4М6КС</t>
  </si>
  <si>
    <t>Заглушка К4М8КС</t>
  </si>
  <si>
    <t>Петля карточная BF 2 (50 мм) СР Хром</t>
  </si>
  <si>
    <t>Саморез 3,5х13 - 4 шт</t>
  </si>
  <si>
    <t>Объем:</t>
  </si>
  <si>
    <t>Каркас крышки</t>
  </si>
  <si>
    <t>000004.П.21.1</t>
  </si>
  <si>
    <t>000004.П.21.0</t>
  </si>
  <si>
    <t>000002.П.15.0</t>
  </si>
  <si>
    <t>000005.П.15.0</t>
  </si>
  <si>
    <t>000001.П.15.0</t>
  </si>
  <si>
    <t>000003.П.21.0</t>
  </si>
  <si>
    <t xml:space="preserve">Болт мебельный М6х50 - 10 шт.                               Шайба м6 увел. - 10 шт.                    Гайка м6 - 10 шт     </t>
  </si>
  <si>
    <t>ПСР-1.04.Н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</si>
</sst>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0.00000"/>
  </numFmts>
  <fonts count="15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sz val="9"/>
      <color theme="1"/>
      <name val="Arial"/>
    </font>
    <font>
      <sz val="10"/>
      <color theme="1"/>
      <name val="Arial"/>
    </font>
    <font>
      <i/>
      <sz val="11"/>
      <color theme="1"/>
      <name val="Arial"/>
    </font>
    <font>
      <i/>
      <sz val="10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name val="Calibri"/>
      <scheme val="minor"/>
    </font>
    <font>
      <sz val="11"/>
      <color theme="1"/>
      <name val="Cambria"/>
      <scheme val="maj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4" fillId="0" borderId="0" applyFont="0" applyFill="0" applyBorder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49" fontId="9" fillId="0" borderId="10" xfId="0" applyNumberFormat="1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0" fillId="0" borderId="17" xfId="0" applyBorder="1"/>
    <xf numFmtId="0" fontId="4" fillId="0" borderId="17" xfId="0" applyFont="1" applyBorder="1" applyAlignment="1">
      <alignment horizontal="center" vertical="center"/>
    </xf>
    <xf numFmtId="166" fontId="4" fillId="0" borderId="17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9" xfId="0" applyFont="1" applyBorder="1" applyAlignment="1">
      <alignment horizontal="righ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14</xdr:row>
      <xdr:rowOff>89646</xdr:rowOff>
    </xdr:from>
    <xdr:to>
      <xdr:col>5</xdr:col>
      <xdr:colOff>1171161</xdr:colOff>
      <xdr:row>14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295899" y="10976721"/>
          <a:ext cx="599662" cy="605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149038</xdr:colOff>
      <xdr:row>5</xdr:row>
      <xdr:rowOff>92584</xdr:rowOff>
    </xdr:from>
    <xdr:to>
      <xdr:col>5</xdr:col>
      <xdr:colOff>1467971</xdr:colOff>
      <xdr:row>5</xdr:row>
      <xdr:rowOff>1130934</xdr:rowOff>
    </xdr:to>
    <xdr:pic>
      <xdr:nvPicPr>
        <xdr:cNvPr id="42" name="Picture 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5292538" y="6737673"/>
          <a:ext cx="1318932" cy="1038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45599</xdr:colOff>
      <xdr:row>7</xdr:row>
      <xdr:rowOff>235323</xdr:rowOff>
    </xdr:from>
    <xdr:to>
      <xdr:col>5</xdr:col>
      <xdr:colOff>1738385</xdr:colOff>
      <xdr:row>7</xdr:row>
      <xdr:rowOff>437027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4970024" y="58042547"/>
          <a:ext cx="1692787" cy="201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134469</xdr:colOff>
      <xdr:row>9</xdr:row>
      <xdr:rowOff>136869</xdr:rowOff>
    </xdr:from>
    <xdr:to>
      <xdr:col>5</xdr:col>
      <xdr:colOff>1567322</xdr:colOff>
      <xdr:row>9</xdr:row>
      <xdr:rowOff>598776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4858869" y="7671144"/>
          <a:ext cx="1432852" cy="4619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583366</xdr:colOff>
      <xdr:row>10</xdr:row>
      <xdr:rowOff>123260</xdr:rowOff>
    </xdr:from>
    <xdr:to>
      <xdr:col>5</xdr:col>
      <xdr:colOff>1277469</xdr:colOff>
      <xdr:row>10</xdr:row>
      <xdr:rowOff>627571</xdr:rowOff>
    </xdr:to>
    <xdr:pic>
      <xdr:nvPicPr>
        <xdr:cNvPr id="46" name="Picture 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5307766" y="8362387"/>
          <a:ext cx="694102" cy="504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547854</xdr:colOff>
      <xdr:row>11</xdr:row>
      <xdr:rowOff>44821</xdr:rowOff>
    </xdr:from>
    <xdr:to>
      <xdr:col>5</xdr:col>
      <xdr:colOff>1400733</xdr:colOff>
      <xdr:row>11</xdr:row>
      <xdr:rowOff>902548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5272254" y="8988796"/>
          <a:ext cx="852879" cy="857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134469</xdr:colOff>
      <xdr:row>12</xdr:row>
      <xdr:rowOff>67234</xdr:rowOff>
    </xdr:from>
    <xdr:to>
      <xdr:col>5</xdr:col>
      <xdr:colOff>1527655</xdr:colOff>
      <xdr:row>12</xdr:row>
      <xdr:rowOff>869370</xdr:rowOff>
    </xdr:to>
    <xdr:pic>
      <xdr:nvPicPr>
        <xdr:cNvPr id="48" name="Picture 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/>
      </xdr:blipFill>
      <xdr:spPr bwMode="auto">
        <a:xfrm rot="16199998">
          <a:off x="5154394" y="9687234"/>
          <a:ext cx="802135" cy="13931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15</xdr:row>
      <xdr:rowOff>89646</xdr:rowOff>
    </xdr:from>
    <xdr:to>
      <xdr:col>5</xdr:col>
      <xdr:colOff>1171161</xdr:colOff>
      <xdr:row>15</xdr:row>
      <xdr:rowOff>694764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295899" y="11719671"/>
          <a:ext cx="599662" cy="605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167119</xdr:colOff>
      <xdr:row>2</xdr:row>
      <xdr:rowOff>190500</xdr:rowOff>
    </xdr:from>
    <xdr:to>
      <xdr:col>10</xdr:col>
      <xdr:colOff>204109</xdr:colOff>
      <xdr:row>2</xdr:row>
      <xdr:rowOff>3077357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C5A22A7-CBC7-4454-9F2E-112618AE1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88798" y="571500"/>
          <a:ext cx="4391276" cy="2886857"/>
        </a:xfrm>
        <a:prstGeom prst="rect">
          <a:avLst/>
        </a:prstGeom>
      </xdr:spPr>
    </xdr:pic>
    <xdr:clientData/>
  </xdr:twoCellAnchor>
  <xdr:twoCellAnchor editAs="oneCell">
    <xdr:from>
      <xdr:col>1</xdr:col>
      <xdr:colOff>40822</xdr:colOff>
      <xdr:row>2</xdr:row>
      <xdr:rowOff>231322</xdr:rowOff>
    </xdr:from>
    <xdr:to>
      <xdr:col>4</xdr:col>
      <xdr:colOff>585108</xdr:colOff>
      <xdr:row>2</xdr:row>
      <xdr:rowOff>3071914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F18C2C0-32AB-42F6-98DC-68DD15319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822" y="612322"/>
          <a:ext cx="4640036" cy="2840592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394607</xdr:colOff>
      <xdr:row>13</xdr:row>
      <xdr:rowOff>68035</xdr:rowOff>
    </xdr:from>
    <xdr:to>
      <xdr:col>5</xdr:col>
      <xdr:colOff>1524000</xdr:colOff>
      <xdr:row>13</xdr:row>
      <xdr:rowOff>893917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F044EAB-2446-4E22-BAA2-C50787832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16286" y="10980964"/>
          <a:ext cx="1129393" cy="825882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421822</xdr:colOff>
      <xdr:row>4</xdr:row>
      <xdr:rowOff>40822</xdr:rowOff>
    </xdr:from>
    <xdr:to>
      <xdr:col>5</xdr:col>
      <xdr:colOff>1172097</xdr:colOff>
      <xdr:row>4</xdr:row>
      <xdr:rowOff>1006929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58DC9DC-5DC7-4D7F-81CA-C0700AB5B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43501" y="4449536"/>
          <a:ext cx="750275" cy="966107"/>
        </a:xfrm>
        <a:prstGeom prst="rect">
          <a:avLst/>
        </a:prstGeom>
      </xdr:spPr>
    </xdr:pic>
    <xdr:clientData/>
  </xdr:twoCellAnchor>
  <xdr:twoCellAnchor>
    <xdr:from>
      <xdr:col>5</xdr:col>
      <xdr:colOff>54429</xdr:colOff>
      <xdr:row>8</xdr:row>
      <xdr:rowOff>95250</xdr:rowOff>
    </xdr:from>
    <xdr:to>
      <xdr:col>5</xdr:col>
      <xdr:colOff>1578430</xdr:colOff>
      <xdr:row>8</xdr:row>
      <xdr:rowOff>557157</xdr:rowOff>
    </xdr:to>
    <xdr:pic>
      <xdr:nvPicPr>
        <xdr:cNvPr id="17" name="Picture 9">
          <a:extLst>
            <a:ext uri="{FF2B5EF4-FFF2-40B4-BE49-F238E27FC236}">
              <a16:creationId xmlns:a16="http://schemas.microsoft.com/office/drawing/2014/main" id="{776E6CBB-7D64-45BB-B06D-7A4FD9C9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 flipH="1">
          <a:off x="4776108" y="8137071"/>
          <a:ext cx="1524001" cy="4619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585107</xdr:colOff>
      <xdr:row>6</xdr:row>
      <xdr:rowOff>136071</xdr:rowOff>
    </xdr:from>
    <xdr:to>
      <xdr:col>5</xdr:col>
      <xdr:colOff>914037</xdr:colOff>
      <xdr:row>6</xdr:row>
      <xdr:rowOff>525961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A0088D3-5B33-42E7-ABD3-92084782F00B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6464" y="6844392"/>
          <a:ext cx="328930" cy="3898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topLeftCell="B4" zoomScale="70" workbookViewId="0">
      <selection activeCell="Y6" sqref="Y6"/>
    </sheetView>
  </sheetViews>
  <sheetFormatPr defaultRowHeight="15" x14ac:dyDescent="0.25"/>
  <cols>
    <col min="1" max="1" width="6.28515625" hidden="1" customWidth="1"/>
    <col min="2" max="2" width="7.7109375" customWidth="1"/>
    <col min="3" max="3" width="17.140625" customWidth="1"/>
    <col min="4" max="4" width="36.5703125" customWidth="1"/>
    <col min="5" max="5" width="11.7109375" style="1" customWidth="1"/>
    <col min="6" max="6" width="26.7109375" customWidth="1"/>
    <col min="7" max="7" width="12.28515625" customWidth="1"/>
    <col min="8" max="11" width="8.85546875" customWidth="1"/>
    <col min="12" max="13" width="15.5703125" hidden="1" customWidth="1"/>
    <col min="14" max="14" width="19.140625" hidden="1" customWidth="1"/>
    <col min="15" max="15" width="14.7109375" hidden="1" customWidth="1"/>
    <col min="16" max="16" width="8.42578125" hidden="1" customWidth="1"/>
    <col min="17" max="17" width="14.28515625" hidden="1" customWidth="1"/>
    <col min="18" max="18" width="6.5703125" hidden="1" customWidth="1"/>
    <col min="19" max="19" width="12.28515625" style="1" hidden="1" customWidth="1"/>
    <col min="20" max="20" width="7.28515625" hidden="1" customWidth="1"/>
    <col min="21" max="21" width="0" hidden="1" customWidth="1"/>
    <col min="22" max="22" width="29.85546875" customWidth="1"/>
  </cols>
  <sheetData>
    <row r="1" spans="1:22" x14ac:dyDescent="0.25">
      <c r="B1" s="51" t="s">
        <v>41</v>
      </c>
      <c r="C1" s="52"/>
      <c r="D1" s="52"/>
      <c r="E1" s="52"/>
      <c r="F1" s="52"/>
      <c r="G1" s="52"/>
      <c r="H1" s="52"/>
      <c r="I1" s="52"/>
      <c r="J1" s="52"/>
      <c r="K1" s="53"/>
    </row>
    <row r="2" spans="1:22" x14ac:dyDescent="0.25">
      <c r="A2" s="54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6"/>
    </row>
    <row r="3" spans="1:22" ht="278.25" customHeight="1" x14ac:dyDescent="0.25">
      <c r="B3" s="57"/>
      <c r="C3" s="58"/>
      <c r="D3" s="58"/>
      <c r="E3" s="58"/>
      <c r="F3" s="58"/>
      <c r="G3" s="58"/>
      <c r="H3" s="58"/>
      <c r="I3" s="58"/>
      <c r="J3" s="58"/>
      <c r="K3" s="59"/>
    </row>
    <row r="4" spans="1:22" ht="38.25" x14ac:dyDescent="0.25">
      <c r="B4" s="2" t="s">
        <v>1</v>
      </c>
      <c r="C4" s="3" t="s">
        <v>2</v>
      </c>
      <c r="D4" s="4" t="s">
        <v>3</v>
      </c>
      <c r="E4" s="3" t="s">
        <v>4</v>
      </c>
      <c r="F4" s="5" t="s">
        <v>5</v>
      </c>
      <c r="G4" s="5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8" t="s">
        <v>11</v>
      </c>
      <c r="V4" s="9" t="s">
        <v>12</v>
      </c>
    </row>
    <row r="5" spans="1:22" s="10" customFormat="1" ht="83.25" customHeight="1" thickBot="1" x14ac:dyDescent="0.3">
      <c r="B5" s="11">
        <v>1</v>
      </c>
      <c r="C5" s="12" t="s">
        <v>13</v>
      </c>
      <c r="D5" s="13" t="s">
        <v>14</v>
      </c>
      <c r="E5" s="14">
        <v>4</v>
      </c>
      <c r="F5" s="12"/>
      <c r="G5" s="15">
        <v>9007</v>
      </c>
      <c r="H5" s="16"/>
      <c r="I5" s="16"/>
      <c r="J5" s="16"/>
      <c r="K5" s="17">
        <v>1E-3</v>
      </c>
      <c r="L5" s="8">
        <v>0.05</v>
      </c>
      <c r="M5" s="9"/>
      <c r="N5" s="18"/>
      <c r="O5" s="19"/>
      <c r="P5" s="19"/>
      <c r="Q5" s="18"/>
      <c r="R5" s="19"/>
      <c r="S5" s="18"/>
      <c r="T5" s="19"/>
      <c r="U5" s="10">
        <f t="shared" ref="U5:U12" si="0">E5*K5</f>
        <v>4.0000000000000001E-3</v>
      </c>
      <c r="V5" s="9" t="s">
        <v>15</v>
      </c>
    </row>
    <row r="6" spans="1:22" s="10" customFormat="1" ht="97.5" customHeight="1" thickBot="1" x14ac:dyDescent="0.3">
      <c r="B6" s="20">
        <v>2</v>
      </c>
      <c r="C6" s="9" t="s">
        <v>16</v>
      </c>
      <c r="D6" s="21" t="s">
        <v>17</v>
      </c>
      <c r="E6" s="22">
        <v>2</v>
      </c>
      <c r="F6" s="9"/>
      <c r="G6" s="15">
        <v>9007</v>
      </c>
      <c r="H6" s="23">
        <v>1.04</v>
      </c>
      <c r="I6" s="23">
        <v>0.12</v>
      </c>
      <c r="J6" s="23">
        <v>0.21</v>
      </c>
      <c r="K6" s="24">
        <f>H6*I6*J6</f>
        <v>2.6207999999999999E-2</v>
      </c>
      <c r="L6" s="25">
        <f>(O6*3.14*P6)/1000000</f>
        <v>9.3634800000000004E-2</v>
      </c>
      <c r="M6" s="9"/>
      <c r="N6" s="23"/>
      <c r="O6" s="9">
        <v>21.3</v>
      </c>
      <c r="P6" s="9">
        <v>1400</v>
      </c>
      <c r="Q6" s="9"/>
      <c r="R6" s="9"/>
      <c r="S6" s="9">
        <v>4</v>
      </c>
      <c r="T6" s="9">
        <f t="shared" ref="T6:T14" si="1">E6*S6</f>
        <v>8</v>
      </c>
      <c r="U6" s="10">
        <f t="shared" si="0"/>
        <v>5.2415999999999997E-2</v>
      </c>
      <c r="V6" s="9" t="s">
        <v>15</v>
      </c>
    </row>
    <row r="7" spans="1:22" ht="49.5" customHeight="1" thickBot="1" x14ac:dyDescent="0.3">
      <c r="A7" s="26"/>
      <c r="B7" s="11">
        <v>3</v>
      </c>
      <c r="C7" s="9" t="s">
        <v>18</v>
      </c>
      <c r="D7" s="22" t="s">
        <v>19</v>
      </c>
      <c r="E7" s="27">
        <v>8</v>
      </c>
      <c r="F7" s="9"/>
      <c r="G7" s="15">
        <v>9007</v>
      </c>
      <c r="H7" s="23"/>
      <c r="I7" s="28"/>
      <c r="J7" s="28"/>
      <c r="K7" s="29">
        <v>1E-3</v>
      </c>
      <c r="L7" s="30"/>
      <c r="M7" s="31"/>
      <c r="N7" s="31"/>
      <c r="O7" s="31"/>
      <c r="P7" s="31"/>
      <c r="Q7" s="31"/>
      <c r="R7" s="31"/>
      <c r="S7" s="28">
        <v>2</v>
      </c>
      <c r="T7" s="9">
        <f t="shared" si="1"/>
        <v>16</v>
      </c>
      <c r="U7" s="10">
        <f t="shared" si="0"/>
        <v>8.0000000000000002E-3</v>
      </c>
      <c r="V7" s="9" t="s">
        <v>20</v>
      </c>
    </row>
    <row r="8" spans="1:22" s="10" customFormat="1" ht="55.5" customHeight="1" x14ac:dyDescent="0.25">
      <c r="A8" s="26"/>
      <c r="B8" s="11">
        <v>4</v>
      </c>
      <c r="C8" s="32" t="s">
        <v>39</v>
      </c>
      <c r="D8" s="21" t="s">
        <v>21</v>
      </c>
      <c r="E8" s="27">
        <v>4</v>
      </c>
      <c r="F8" s="9"/>
      <c r="G8" s="33">
        <v>6018</v>
      </c>
      <c r="H8" s="23">
        <v>1.76</v>
      </c>
      <c r="I8" s="23">
        <v>0.14499999999999999</v>
      </c>
      <c r="J8" s="23">
        <v>2.1000000000000001E-2</v>
      </c>
      <c r="K8" s="24">
        <f t="shared" ref="K8:K14" si="2">H8*I8*J8</f>
        <v>5.3591999999999997E-3</v>
      </c>
      <c r="L8" s="34">
        <f t="shared" ref="L8:L14" si="3">(H8*I8)*2.1</f>
        <v>0.53591999999999995</v>
      </c>
      <c r="M8" s="9">
        <v>3640</v>
      </c>
      <c r="N8" s="23"/>
      <c r="O8" s="9"/>
      <c r="P8" s="9"/>
      <c r="Q8" s="9"/>
      <c r="R8" s="9"/>
      <c r="S8" s="9">
        <v>4</v>
      </c>
      <c r="T8" s="9">
        <f t="shared" si="1"/>
        <v>16</v>
      </c>
      <c r="U8" s="10">
        <f t="shared" si="0"/>
        <v>2.1436799999999999E-2</v>
      </c>
      <c r="V8" s="9"/>
    </row>
    <row r="9" spans="1:22" s="10" customFormat="1" ht="55.5" customHeight="1" thickBot="1" x14ac:dyDescent="0.3">
      <c r="A9" s="26"/>
      <c r="B9" s="20">
        <v>5</v>
      </c>
      <c r="C9" s="32" t="s">
        <v>34</v>
      </c>
      <c r="D9" s="21" t="s">
        <v>22</v>
      </c>
      <c r="E9" s="27">
        <v>4</v>
      </c>
      <c r="F9" s="9"/>
      <c r="G9" s="33">
        <v>6018</v>
      </c>
      <c r="H9" s="23">
        <v>0.76</v>
      </c>
      <c r="I9" s="23">
        <v>0.224</v>
      </c>
      <c r="J9" s="23">
        <v>2.1000000000000001E-2</v>
      </c>
      <c r="K9" s="24">
        <f t="shared" ref="K9" si="4">H9*I9*J9</f>
        <v>3.5750400000000002E-3</v>
      </c>
      <c r="L9" s="34"/>
      <c r="M9" s="9"/>
      <c r="N9" s="23"/>
      <c r="O9" s="9"/>
      <c r="P9" s="9"/>
      <c r="Q9" s="9"/>
      <c r="R9" s="9"/>
      <c r="S9" s="9"/>
      <c r="T9" s="9"/>
      <c r="U9" s="10">
        <f t="shared" si="0"/>
        <v>1.4300160000000001E-2</v>
      </c>
      <c r="V9" s="9"/>
    </row>
    <row r="10" spans="1:22" s="10" customFormat="1" ht="55.5" customHeight="1" thickBot="1" x14ac:dyDescent="0.3">
      <c r="A10" s="26"/>
      <c r="B10" s="11">
        <v>6</v>
      </c>
      <c r="C10" s="32" t="s">
        <v>35</v>
      </c>
      <c r="D10" s="21" t="s">
        <v>22</v>
      </c>
      <c r="E10" s="27">
        <v>4</v>
      </c>
      <c r="F10" s="9"/>
      <c r="G10" s="33">
        <v>6018</v>
      </c>
      <c r="H10" s="23">
        <v>0.76</v>
      </c>
      <c r="I10" s="23">
        <v>0.224</v>
      </c>
      <c r="J10" s="23">
        <v>2.1000000000000001E-2</v>
      </c>
      <c r="K10" s="24">
        <f t="shared" si="2"/>
        <v>3.5750400000000002E-3</v>
      </c>
      <c r="L10" s="34">
        <f t="shared" si="3"/>
        <v>0.35750400000000004</v>
      </c>
      <c r="M10" s="9">
        <v>1992</v>
      </c>
      <c r="N10" s="23"/>
      <c r="O10" s="9"/>
      <c r="P10" s="9"/>
      <c r="Q10" s="9"/>
      <c r="R10" s="9"/>
      <c r="S10" s="9">
        <v>2</v>
      </c>
      <c r="T10" s="9">
        <f t="shared" si="1"/>
        <v>8</v>
      </c>
      <c r="U10" s="10">
        <f t="shared" si="0"/>
        <v>1.4300160000000001E-2</v>
      </c>
      <c r="V10" s="9"/>
    </row>
    <row r="11" spans="1:22" s="10" customFormat="1" ht="55.5" customHeight="1" x14ac:dyDescent="0.25">
      <c r="A11" s="26"/>
      <c r="B11" s="11">
        <v>7</v>
      </c>
      <c r="C11" s="32" t="s">
        <v>36</v>
      </c>
      <c r="D11" s="21" t="s">
        <v>23</v>
      </c>
      <c r="E11" s="27">
        <v>4</v>
      </c>
      <c r="F11" s="9"/>
      <c r="G11" s="35">
        <v>5017</v>
      </c>
      <c r="H11" s="23">
        <v>0.3</v>
      </c>
      <c r="I11" s="23">
        <v>0.2</v>
      </c>
      <c r="J11" s="23">
        <v>1.4999999999999999E-2</v>
      </c>
      <c r="K11" s="24">
        <f t="shared" si="2"/>
        <v>8.9999999999999998E-4</v>
      </c>
      <c r="L11" s="34">
        <f t="shared" si="3"/>
        <v>0.126</v>
      </c>
      <c r="M11" s="9">
        <v>915</v>
      </c>
      <c r="N11" s="23"/>
      <c r="O11" s="9"/>
      <c r="P11" s="9"/>
      <c r="Q11" s="9"/>
      <c r="R11" s="9"/>
      <c r="S11" s="9">
        <v>6</v>
      </c>
      <c r="T11" s="9">
        <f t="shared" si="1"/>
        <v>24</v>
      </c>
      <c r="U11" s="10">
        <f t="shared" si="0"/>
        <v>3.5999999999999999E-3</v>
      </c>
      <c r="V11" s="9" t="s">
        <v>24</v>
      </c>
    </row>
    <row r="12" spans="1:22" s="10" customFormat="1" ht="76.5" customHeight="1" thickBot="1" x14ac:dyDescent="0.3">
      <c r="A12" s="26"/>
      <c r="B12" s="20">
        <v>8</v>
      </c>
      <c r="C12" s="32" t="s">
        <v>37</v>
      </c>
      <c r="D12" s="21" t="s">
        <v>25</v>
      </c>
      <c r="E12" s="27">
        <v>4</v>
      </c>
      <c r="F12" s="9"/>
      <c r="G12" s="36">
        <v>2008</v>
      </c>
      <c r="H12" s="23">
        <v>0.41099999999999998</v>
      </c>
      <c r="I12" s="23">
        <v>0.41099999999999998</v>
      </c>
      <c r="J12" s="23">
        <v>1.4999999999999999E-2</v>
      </c>
      <c r="K12" s="24">
        <f t="shared" si="2"/>
        <v>2.5338149999999996E-3</v>
      </c>
      <c r="L12" s="34">
        <f t="shared" si="3"/>
        <v>0.3547341</v>
      </c>
      <c r="M12" s="9">
        <v>1450</v>
      </c>
      <c r="N12" s="23"/>
      <c r="O12" s="9"/>
      <c r="P12" s="9"/>
      <c r="Q12" s="9"/>
      <c r="R12" s="9"/>
      <c r="S12" s="9"/>
      <c r="T12" s="9">
        <f t="shared" si="1"/>
        <v>0</v>
      </c>
      <c r="U12" s="10">
        <f t="shared" si="0"/>
        <v>1.0135259999999998E-2</v>
      </c>
      <c r="V12" s="9" t="s">
        <v>24</v>
      </c>
    </row>
    <row r="13" spans="1:22" s="10" customFormat="1" ht="76.5" customHeight="1" x14ac:dyDescent="0.25">
      <c r="A13" s="26"/>
      <c r="B13" s="11">
        <v>9</v>
      </c>
      <c r="C13" s="32" t="s">
        <v>38</v>
      </c>
      <c r="D13" s="21" t="s">
        <v>26</v>
      </c>
      <c r="E13" s="27">
        <v>2</v>
      </c>
      <c r="F13" s="9"/>
      <c r="G13" s="35">
        <v>5017</v>
      </c>
      <c r="H13" s="23">
        <v>1.59</v>
      </c>
      <c r="I13" s="23">
        <v>0.875</v>
      </c>
      <c r="J13" s="23">
        <v>1.4999999999999999E-2</v>
      </c>
      <c r="K13" s="24">
        <f t="shared" si="2"/>
        <v>2.0868750000000002E-2</v>
      </c>
      <c r="L13" s="34">
        <f t="shared" si="3"/>
        <v>2.9216250000000001</v>
      </c>
      <c r="M13" s="9">
        <v>4450</v>
      </c>
      <c r="N13" s="23"/>
      <c r="O13" s="9"/>
      <c r="P13" s="9"/>
      <c r="Q13" s="9"/>
      <c r="R13" s="9"/>
      <c r="S13" s="9"/>
      <c r="T13" s="9">
        <f t="shared" si="1"/>
        <v>0</v>
      </c>
      <c r="U13" s="10">
        <f t="shared" ref="U13:U16" si="5">E13*K13</f>
        <v>4.1737500000000004E-2</v>
      </c>
      <c r="V13" s="9"/>
    </row>
    <row r="14" spans="1:22" s="10" customFormat="1" ht="76.5" customHeight="1" thickBot="1" x14ac:dyDescent="0.3">
      <c r="A14" s="26"/>
      <c r="B14" s="20">
        <v>10</v>
      </c>
      <c r="C14" s="32"/>
      <c r="D14" s="21" t="s">
        <v>33</v>
      </c>
      <c r="E14" s="27">
        <v>2</v>
      </c>
      <c r="F14" s="9"/>
      <c r="G14" s="35">
        <v>5017</v>
      </c>
      <c r="H14" s="23">
        <v>1.45</v>
      </c>
      <c r="I14" s="23">
        <v>0.4</v>
      </c>
      <c r="J14" s="23">
        <v>0.02</v>
      </c>
      <c r="K14" s="24">
        <f t="shared" si="2"/>
        <v>1.1599999999999999E-2</v>
      </c>
      <c r="L14" s="34">
        <f t="shared" si="3"/>
        <v>1.218</v>
      </c>
      <c r="N14" s="50"/>
      <c r="T14" s="10">
        <f t="shared" si="1"/>
        <v>0</v>
      </c>
      <c r="U14" s="10">
        <f t="shared" si="5"/>
        <v>2.3199999999999998E-2</v>
      </c>
      <c r="V14" s="9" t="s">
        <v>40</v>
      </c>
    </row>
    <row r="15" spans="1:22" ht="58.5" customHeight="1" x14ac:dyDescent="0.25">
      <c r="A15" s="1"/>
      <c r="B15" s="11">
        <v>11</v>
      </c>
      <c r="C15" s="37" t="s">
        <v>27</v>
      </c>
      <c r="D15" s="37" t="s">
        <v>28</v>
      </c>
      <c r="E15" s="38">
        <v>66</v>
      </c>
      <c r="F15" s="31"/>
      <c r="G15" s="39"/>
      <c r="H15" s="39">
        <v>2.7E-2</v>
      </c>
      <c r="I15" s="39">
        <v>2.7E-2</v>
      </c>
      <c r="J15" s="39">
        <v>1.6E-2</v>
      </c>
      <c r="K15" s="40">
        <v>2.0000000000000001E-4</v>
      </c>
      <c r="L15" s="30"/>
      <c r="R15">
        <f t="shared" ref="R15:R16" si="6">SUM(R4:R7)</f>
        <v>0</v>
      </c>
      <c r="U15" s="10">
        <f t="shared" si="5"/>
        <v>1.32E-2</v>
      </c>
      <c r="V15" s="31"/>
    </row>
    <row r="16" spans="1:22" ht="58.5" customHeight="1" thickBot="1" x14ac:dyDescent="0.3">
      <c r="A16" s="41"/>
      <c r="B16" s="20">
        <v>12</v>
      </c>
      <c r="C16" s="37" t="s">
        <v>27</v>
      </c>
      <c r="D16" s="37" t="s">
        <v>29</v>
      </c>
      <c r="E16" s="38">
        <v>24</v>
      </c>
      <c r="F16" s="31"/>
      <c r="G16" s="39"/>
      <c r="H16" s="39">
        <v>2.7E-2</v>
      </c>
      <c r="I16" s="39">
        <v>2.7E-2</v>
      </c>
      <c r="J16" s="39">
        <v>1.6E-2</v>
      </c>
      <c r="K16" s="40">
        <v>2.0000000000000001E-4</v>
      </c>
      <c r="L16" s="30"/>
      <c r="R16">
        <f t="shared" si="6"/>
        <v>0</v>
      </c>
      <c r="U16" s="10">
        <f t="shared" si="5"/>
        <v>4.8000000000000004E-3</v>
      </c>
      <c r="V16" s="31"/>
    </row>
    <row r="17" spans="1:22" ht="33.75" customHeight="1" thickBot="1" x14ac:dyDescent="0.3">
      <c r="A17" s="41"/>
      <c r="B17" s="11">
        <v>13</v>
      </c>
      <c r="C17" s="42"/>
      <c r="D17" s="43" t="s">
        <v>30</v>
      </c>
      <c r="E17" s="44">
        <v>4</v>
      </c>
      <c r="F17" s="45"/>
      <c r="G17" s="46"/>
      <c r="H17" s="46"/>
      <c r="I17" s="46"/>
      <c r="J17" s="47"/>
      <c r="K17" s="48"/>
      <c r="U17" s="10"/>
      <c r="V17" s="28" t="s">
        <v>31</v>
      </c>
    </row>
    <row r="18" spans="1:22" ht="15.75" x14ac:dyDescent="0.25">
      <c r="B18" s="60" t="s">
        <v>32</v>
      </c>
      <c r="C18" s="60"/>
      <c r="D18" s="60"/>
      <c r="E18" s="60"/>
      <c r="F18" s="60"/>
      <c r="G18" s="60"/>
      <c r="H18" s="60"/>
      <c r="I18" s="60"/>
      <c r="J18" s="60"/>
      <c r="K18" s="49">
        <f>SUM(U5:U15)</f>
        <v>0.20632588000000002</v>
      </c>
    </row>
  </sheetData>
  <mergeCells count="4">
    <mergeCell ref="B1:K1"/>
    <mergeCell ref="A2:K2"/>
    <mergeCell ref="B3:K3"/>
    <mergeCell ref="B18:J18"/>
  </mergeCells>
  <pageMargins left="0.23622047244094491" right="0.23622047244094491" top="0.39370078740157477" bottom="0.39370078740157477" header="0.31496062992125984" footer="0.31496062992125984"/>
  <pageSetup paperSize="9" scale="5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3" sqref="C33"/>
    </sheetView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3</cp:revision>
  <dcterms:created xsi:type="dcterms:W3CDTF">2017-04-27T07:18:00Z</dcterms:created>
  <dcterms:modified xsi:type="dcterms:W3CDTF">2025-06-09T14:02:57Z</dcterms:modified>
</cp:coreProperties>
</file>