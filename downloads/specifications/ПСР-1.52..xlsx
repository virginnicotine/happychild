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3713D834-2307-43F9-9F28-5FC9CED71B4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Спецификация" sheetId="4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2" i="4" l="1"/>
  <c r="AH12" i="4"/>
  <c r="AF12" i="4"/>
  <c r="AD12" i="4"/>
  <c r="AB12" i="4"/>
  <c r="Z12" i="4"/>
  <c r="X12" i="4"/>
  <c r="V12" i="4"/>
  <c r="T12" i="4"/>
  <c r="R12" i="4"/>
  <c r="P12" i="4"/>
  <c r="K12" i="4"/>
  <c r="L12" i="4" s="1"/>
  <c r="M12" i="4" s="1"/>
  <c r="AJ11" i="4"/>
  <c r="AH11" i="4"/>
  <c r="AF11" i="4"/>
  <c r="AD11" i="4"/>
  <c r="AB11" i="4"/>
  <c r="Z11" i="4"/>
  <c r="X11" i="4"/>
  <c r="V11" i="4"/>
  <c r="T11" i="4"/>
  <c r="R11" i="4"/>
  <c r="P11" i="4"/>
  <c r="K11" i="4"/>
  <c r="L11" i="4" s="1"/>
  <c r="AJ10" i="4"/>
  <c r="AH10" i="4"/>
  <c r="AF10" i="4"/>
  <c r="AD10" i="4"/>
  <c r="AB10" i="4"/>
  <c r="Z10" i="4"/>
  <c r="X10" i="4"/>
  <c r="V10" i="4"/>
  <c r="T10" i="4"/>
  <c r="R10" i="4"/>
  <c r="P10" i="4"/>
  <c r="K10" i="4"/>
  <c r="L10" i="4" s="1"/>
  <c r="AJ9" i="4"/>
  <c r="AH9" i="4"/>
  <c r="AF9" i="4"/>
  <c r="AD9" i="4"/>
  <c r="AB9" i="4"/>
  <c r="Z9" i="4"/>
  <c r="X9" i="4"/>
  <c r="V9" i="4"/>
  <c r="T9" i="4"/>
  <c r="R9" i="4"/>
  <c r="P9" i="4"/>
  <c r="K9" i="4"/>
  <c r="L9" i="4" s="1"/>
  <c r="AJ8" i="4"/>
  <c r="AH8" i="4"/>
  <c r="AF8" i="4"/>
  <c r="AD8" i="4"/>
  <c r="AB8" i="4"/>
  <c r="Z8" i="4"/>
  <c r="X8" i="4"/>
  <c r="V8" i="4"/>
  <c r="T8" i="4"/>
  <c r="R8" i="4"/>
  <c r="P8" i="4"/>
  <c r="K8" i="4"/>
  <c r="L8" i="4" s="1"/>
  <c r="K5" i="4"/>
  <c r="L5" i="4" s="1"/>
  <c r="AB6" i="4" l="1"/>
  <c r="Z6" i="4"/>
  <c r="X6" i="4"/>
  <c r="V6" i="4"/>
  <c r="T6" i="4"/>
  <c r="R6" i="4"/>
  <c r="P6" i="4"/>
  <c r="AB13" i="4" l="1"/>
  <c r="R13" i="4"/>
  <c r="P13" i="4"/>
  <c r="AJ7" i="4"/>
  <c r="AJ13" i="4"/>
  <c r="AJ14" i="4"/>
  <c r="AJ15" i="4"/>
  <c r="AJ6" i="4"/>
  <c r="AH7" i="4"/>
  <c r="AH13" i="4"/>
  <c r="AH14" i="4"/>
  <c r="AH15" i="4"/>
  <c r="AF7" i="4"/>
  <c r="AF13" i="4"/>
  <c r="AF14" i="4"/>
  <c r="AF15" i="4"/>
  <c r="AD7" i="4"/>
  <c r="AD13" i="4"/>
  <c r="AD14" i="4"/>
  <c r="AD15" i="4"/>
  <c r="AB7" i="4"/>
  <c r="AB14" i="4"/>
  <c r="AB15" i="4"/>
  <c r="Z7" i="4"/>
  <c r="Z13" i="4"/>
  <c r="Z14" i="4"/>
  <c r="Z15" i="4"/>
  <c r="V7" i="4"/>
  <c r="V13" i="4"/>
  <c r="V14" i="4"/>
  <c r="V15" i="4"/>
  <c r="T7" i="4"/>
  <c r="T13" i="4"/>
  <c r="T14" i="4"/>
  <c r="T15" i="4"/>
  <c r="R7" i="4"/>
  <c r="R14" i="4"/>
  <c r="R15" i="4"/>
  <c r="P7" i="4"/>
  <c r="P14" i="4"/>
  <c r="P15" i="4"/>
  <c r="AH6" i="4"/>
  <c r="AF6" i="4"/>
  <c r="AD6" i="4"/>
  <c r="X7" i="4"/>
  <c r="X13" i="4"/>
  <c r="X14" i="4"/>
  <c r="X15" i="4"/>
  <c r="AD16" i="4" l="1"/>
  <c r="Z16" i="4"/>
  <c r="P16" i="4"/>
  <c r="R16" i="4"/>
  <c r="T16" i="4"/>
  <c r="V16" i="4"/>
  <c r="X16" i="4"/>
  <c r="AB16" i="4"/>
  <c r="AH16" i="4"/>
  <c r="AF16" i="4"/>
  <c r="AJ16" i="4"/>
  <c r="K15" i="4"/>
  <c r="L15" i="4" s="1"/>
  <c r="M15" i="4" s="1"/>
  <c r="K14" i="4"/>
  <c r="L14" i="4" s="1"/>
  <c r="M14" i="4" s="1"/>
  <c r="L13" i="4"/>
  <c r="M13" i="4" s="1"/>
  <c r="L7" i="4"/>
  <c r="M7" i="4" s="1"/>
  <c r="K6" i="4"/>
  <c r="L6" i="4" s="1"/>
</calcChain>
</file>

<file path=xl/sharedStrings.xml><?xml version="1.0" encoding="utf-8"?>
<sst xmlns="http://schemas.openxmlformats.org/spreadsheetml/2006/main" count="64" uniqueCount="61">
  <si>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</si>
  <si>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</si>
  <si>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</si>
  <si>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</si>
  <si>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</si>
  <si>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</si>
  <si>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</si>
  <si>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</si>
  <si>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</si>
  <si>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</si>
  <si>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Объем всего</t>
  </si>
  <si>
    <t>Цвет, RAL черный</t>
  </si>
  <si>
    <t>СТОЛБЫ</t>
  </si>
  <si>
    <t>ПАНЕЛИ</t>
  </si>
  <si>
    <t>Уголок крепежный 62х62 90гр.</t>
  </si>
  <si>
    <t>ПЛАСТИК</t>
  </si>
  <si>
    <t>Закладная для столба</t>
  </si>
  <si>
    <t>0013МП</t>
  </si>
  <si>
    <t>0003МП</t>
  </si>
  <si>
    <t>Болт мебельный М6х50</t>
  </si>
  <si>
    <t>Болт мебельный М6х60</t>
  </si>
  <si>
    <t>Болт мебельный М6х35</t>
  </si>
  <si>
    <t>Стандартные изделия</t>
  </si>
  <si>
    <t>Болт мебельный М6х70</t>
  </si>
  <si>
    <t>Шайба оц D8</t>
  </si>
  <si>
    <t>Гайка 6-гр оц М6</t>
  </si>
  <si>
    <t>Шуруп Глухарь 8х50</t>
  </si>
  <si>
    <t>Шуруп Глухарь 8х80</t>
  </si>
  <si>
    <t>Вес, кг</t>
  </si>
  <si>
    <t>Метизы крепления на 1 комплектующую</t>
  </si>
  <si>
    <t>Гайка 6-гр оц М8</t>
  </si>
  <si>
    <t xml:space="preserve">Болт мебельный М6х35 - 2 шт.                               Шайба м8 увел. - 2 шт.                    Гайка м6 - 2 шт        </t>
  </si>
  <si>
    <t>Саморез 4,5х55</t>
  </si>
  <si>
    <t>Саморез 3,5х35</t>
  </si>
  <si>
    <t xml:space="preserve">Шуруп (глухарь) 8х80 - 2 шт.                         Шайба м8 увел. - 2 шт.                         </t>
  </si>
  <si>
    <t xml:space="preserve">Шуруп (глухарь) 8х80 - 4 шт.                         Шайба м8 увел. - 4 шт.                         </t>
  </si>
  <si>
    <t xml:space="preserve">Шуруп (глухарь) 8х50 - 3 шт.                         Шайба м8 увел. - 3шт.                         </t>
  </si>
  <si>
    <t>Колпачок пластиковый составной М6-27</t>
  </si>
  <si>
    <t>Колпачок пластиковый составной М8-32,5</t>
  </si>
  <si>
    <t>6</t>
  </si>
  <si>
    <t>7</t>
  </si>
  <si>
    <t>0038ДБ</t>
  </si>
  <si>
    <t>Брус 100х100х300</t>
  </si>
  <si>
    <t>002168_П</t>
  </si>
  <si>
    <t>Панель песочницы ПСР-1.52 (2300х300)</t>
  </si>
  <si>
    <t>002169_П</t>
  </si>
  <si>
    <t>002170_П</t>
  </si>
  <si>
    <t>Стол песочницы ПСР-1.52 (2500х300)</t>
  </si>
  <si>
    <t>002171_П</t>
  </si>
  <si>
    <t>Стол песочницы ПСР-1.52 треугольник (370х370)</t>
  </si>
  <si>
    <t xml:space="preserve">Шуруп (глухарь) 8х80 - 1 шт.                         Шайба м8 увел. - 1 шт.                         </t>
  </si>
  <si>
    <t>Болт М6х35 мебельный с полукр.гол. и усом</t>
  </si>
  <si>
    <t>Глухарь М8х60</t>
  </si>
  <si>
    <t>Глухарь М8х80</t>
  </si>
  <si>
    <t>Шайба М8 плоская</t>
  </si>
  <si>
    <t>Гайка М6 шестигранная</t>
  </si>
  <si>
    <t>3</t>
  </si>
  <si>
    <t>4</t>
  </si>
  <si>
    <t>5</t>
  </si>
  <si>
    <t>ПСР-1.52.Н</t>
  </si>
  <si>
    <t>Шайба М6 плоская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</si>
</sst>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0"/>
      <color rgb="FF000000"/>
      <name val="Arial Unicode MS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/>
    <xf numFmtId="0" fontId="7" fillId="0" borderId="1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textRotation="90" wrapText="1"/>
    </xf>
    <xf numFmtId="0" fontId="2" fillId="6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13</xdr:row>
      <xdr:rowOff>40822</xdr:rowOff>
    </xdr:from>
    <xdr:to>
      <xdr:col>5</xdr:col>
      <xdr:colOff>1189598</xdr:colOff>
      <xdr:row>13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A11843-654B-42F0-994B-BF45B863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80441347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14</xdr:row>
      <xdr:rowOff>32339</xdr:rowOff>
    </xdr:from>
    <xdr:to>
      <xdr:col>5</xdr:col>
      <xdr:colOff>1229901</xdr:colOff>
      <xdr:row>15</xdr:row>
      <xdr:rowOff>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29716-CFFC-45C2-B4CB-9BE49E4A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81172639"/>
          <a:ext cx="829691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15</xdr:row>
      <xdr:rowOff>0</xdr:rowOff>
    </xdr:from>
    <xdr:to>
      <xdr:col>11</xdr:col>
      <xdr:colOff>12548</xdr:colOff>
      <xdr:row>15</xdr:row>
      <xdr:rowOff>240837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6422C6BA-4CD1-463C-9065-F58870C5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15</xdr:row>
      <xdr:rowOff>0</xdr:rowOff>
    </xdr:from>
    <xdr:to>
      <xdr:col>11</xdr:col>
      <xdr:colOff>12548</xdr:colOff>
      <xdr:row>15</xdr:row>
      <xdr:rowOff>240837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75F02CFA-5C89-4B7F-AFD4-D96467CE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11800</xdr:colOff>
      <xdr:row>14</xdr:row>
      <xdr:rowOff>495825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E63A83EB-C62A-4928-B3EA-225C1747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80400525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318135</xdr:colOff>
      <xdr:row>5</xdr:row>
      <xdr:rowOff>49257</xdr:rowOff>
    </xdr:from>
    <xdr:to>
      <xdr:col>5</xdr:col>
      <xdr:colOff>1169670</xdr:colOff>
      <xdr:row>5</xdr:row>
      <xdr:rowOff>387712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D473016-0F93-4C89-8042-7B27A60E4B61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r="-2703" b="47582"/>
        <a:stretch>
          <a:fillRect/>
        </a:stretch>
      </xdr:blipFill>
      <xdr:spPr bwMode="auto">
        <a:xfrm rot="16200000">
          <a:off x="6200775" y="9438367"/>
          <a:ext cx="341630" cy="854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8625</xdr:colOff>
      <xdr:row>16</xdr:row>
      <xdr:rowOff>55652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55011314-3E65-4677-94B3-CA0BEA21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8625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62" name="Picture 9">
          <a:extLst>
            <a:ext uri="{FF2B5EF4-FFF2-40B4-BE49-F238E27FC236}">
              <a16:creationId xmlns:a16="http://schemas.microsoft.com/office/drawing/2014/main" id="{96F0965E-5E1D-4C9E-B20B-BF22E82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84" name="Picture 9">
          <a:extLst>
            <a:ext uri="{FF2B5EF4-FFF2-40B4-BE49-F238E27FC236}">
              <a16:creationId xmlns:a16="http://schemas.microsoft.com/office/drawing/2014/main" id="{DE7A8B1C-3BE0-43FD-AB50-C6083327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366907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88" name="Picture 9">
          <a:extLst>
            <a:ext uri="{FF2B5EF4-FFF2-40B4-BE49-F238E27FC236}">
              <a16:creationId xmlns:a16="http://schemas.microsoft.com/office/drawing/2014/main" id="{9A4BD360-0EA3-413E-BE78-673AC99E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90" name="Picture 9">
          <a:extLst>
            <a:ext uri="{FF2B5EF4-FFF2-40B4-BE49-F238E27FC236}">
              <a16:creationId xmlns:a16="http://schemas.microsoft.com/office/drawing/2014/main" id="{14AE575B-4E1C-4FFD-9F02-336570335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92" name="Picture 9">
          <a:extLst>
            <a:ext uri="{FF2B5EF4-FFF2-40B4-BE49-F238E27FC236}">
              <a16:creationId xmlns:a16="http://schemas.microsoft.com/office/drawing/2014/main" id="{05398B97-B25E-4739-98E7-7F8A69B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67851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94" name="Picture 9">
          <a:extLst>
            <a:ext uri="{FF2B5EF4-FFF2-40B4-BE49-F238E27FC236}">
              <a16:creationId xmlns:a16="http://schemas.microsoft.com/office/drawing/2014/main" id="{F5205B19-9FA9-439E-BFD3-00C781CA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97" name="Picture 9">
          <a:extLst>
            <a:ext uri="{FF2B5EF4-FFF2-40B4-BE49-F238E27FC236}">
              <a16:creationId xmlns:a16="http://schemas.microsoft.com/office/drawing/2014/main" id="{2DC144C7-EF29-444F-831A-1F90473F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00" name="Picture 9">
          <a:extLst>
            <a:ext uri="{FF2B5EF4-FFF2-40B4-BE49-F238E27FC236}">
              <a16:creationId xmlns:a16="http://schemas.microsoft.com/office/drawing/2014/main" id="{CFCEEF9D-D1B2-4C19-AE51-847C278D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03" name="Picture 9">
          <a:extLst>
            <a:ext uri="{FF2B5EF4-FFF2-40B4-BE49-F238E27FC236}">
              <a16:creationId xmlns:a16="http://schemas.microsoft.com/office/drawing/2014/main" id="{B8FC7ED7-9BC6-41A4-AB39-A2BF72D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105" name="Picture 9">
          <a:extLst>
            <a:ext uri="{FF2B5EF4-FFF2-40B4-BE49-F238E27FC236}">
              <a16:creationId xmlns:a16="http://schemas.microsoft.com/office/drawing/2014/main" id="{08DA73B5-862E-4F82-B0B2-B9DE42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21</xdr:row>
      <xdr:rowOff>0</xdr:rowOff>
    </xdr:from>
    <xdr:ext cx="7292" cy="237662"/>
    <xdr:pic>
      <xdr:nvPicPr>
        <xdr:cNvPr id="81" name="Picture 9">
          <a:extLst>
            <a:ext uri="{FF2B5EF4-FFF2-40B4-BE49-F238E27FC236}">
              <a16:creationId xmlns:a16="http://schemas.microsoft.com/office/drawing/2014/main" id="{0EBA4BED-439C-49B8-93D8-68C82F7C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21</xdr:row>
      <xdr:rowOff>0</xdr:rowOff>
    </xdr:from>
    <xdr:ext cx="7292" cy="237662"/>
    <xdr:pic>
      <xdr:nvPicPr>
        <xdr:cNvPr id="82" name="Picture 9">
          <a:extLst>
            <a:ext uri="{FF2B5EF4-FFF2-40B4-BE49-F238E27FC236}">
              <a16:creationId xmlns:a16="http://schemas.microsoft.com/office/drawing/2014/main" id="{DAE89F6D-AAC8-4FB7-BD74-9D7B15C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87" name="Picture 9">
          <a:extLst>
            <a:ext uri="{FF2B5EF4-FFF2-40B4-BE49-F238E27FC236}">
              <a16:creationId xmlns:a16="http://schemas.microsoft.com/office/drawing/2014/main" id="{CDC3C0C8-5E8D-4F19-88FE-D43ABDBD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987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95" name="Picture 9">
          <a:extLst>
            <a:ext uri="{FF2B5EF4-FFF2-40B4-BE49-F238E27FC236}">
              <a16:creationId xmlns:a16="http://schemas.microsoft.com/office/drawing/2014/main" id="{F98FE873-A59F-4746-8F84-2180A20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606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85" name="Picture 9">
          <a:extLst>
            <a:ext uri="{FF2B5EF4-FFF2-40B4-BE49-F238E27FC236}">
              <a16:creationId xmlns:a16="http://schemas.microsoft.com/office/drawing/2014/main" id="{3FBEA5E5-7746-4424-ADA7-C2B7A104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091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89" name="Picture 9">
          <a:extLst>
            <a:ext uri="{FF2B5EF4-FFF2-40B4-BE49-F238E27FC236}">
              <a16:creationId xmlns:a16="http://schemas.microsoft.com/office/drawing/2014/main" id="{F376132A-8034-4105-9D5A-42631BFE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96619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93" name="Picture 9">
          <a:extLst>
            <a:ext uri="{FF2B5EF4-FFF2-40B4-BE49-F238E27FC236}">
              <a16:creationId xmlns:a16="http://schemas.microsoft.com/office/drawing/2014/main" id="{CDA350A2-11B6-4815-8232-41F2C42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710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14" name="Picture 9">
          <a:extLst>
            <a:ext uri="{FF2B5EF4-FFF2-40B4-BE49-F238E27FC236}">
              <a16:creationId xmlns:a16="http://schemas.microsoft.com/office/drawing/2014/main" id="{5E1F0C50-7811-475C-871F-A8F5ED3C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16" name="Picture 9">
          <a:extLst>
            <a:ext uri="{FF2B5EF4-FFF2-40B4-BE49-F238E27FC236}">
              <a16:creationId xmlns:a16="http://schemas.microsoft.com/office/drawing/2014/main" id="{5F8C85F3-10B2-4A78-9CC8-5D9AF78D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17" name="Picture 9">
          <a:extLst>
            <a:ext uri="{FF2B5EF4-FFF2-40B4-BE49-F238E27FC236}">
              <a16:creationId xmlns:a16="http://schemas.microsoft.com/office/drawing/2014/main" id="{D0344679-EBA9-4045-9A72-D91AD4B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18" name="Picture 9">
          <a:extLst>
            <a:ext uri="{FF2B5EF4-FFF2-40B4-BE49-F238E27FC236}">
              <a16:creationId xmlns:a16="http://schemas.microsoft.com/office/drawing/2014/main" id="{6326009C-2537-4E79-B425-14BFD2C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19" name="Picture 9">
          <a:extLst>
            <a:ext uri="{FF2B5EF4-FFF2-40B4-BE49-F238E27FC236}">
              <a16:creationId xmlns:a16="http://schemas.microsoft.com/office/drawing/2014/main" id="{88CA9002-C854-412A-B34D-97B2D80F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20" name="Picture 9">
          <a:extLst>
            <a:ext uri="{FF2B5EF4-FFF2-40B4-BE49-F238E27FC236}">
              <a16:creationId xmlns:a16="http://schemas.microsoft.com/office/drawing/2014/main" id="{9D05646C-0E72-4A97-BE90-0E6A668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21" name="Picture 9">
          <a:extLst>
            <a:ext uri="{FF2B5EF4-FFF2-40B4-BE49-F238E27FC236}">
              <a16:creationId xmlns:a16="http://schemas.microsoft.com/office/drawing/2014/main" id="{63B6BE85-872E-4DDE-BAE4-DCFB4A15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14</xdr:row>
      <xdr:rowOff>0</xdr:rowOff>
    </xdr:from>
    <xdr:ext cx="8625" cy="1234734"/>
    <xdr:pic>
      <xdr:nvPicPr>
        <xdr:cNvPr id="146" name="Picture 9">
          <a:extLst>
            <a:ext uri="{FF2B5EF4-FFF2-40B4-BE49-F238E27FC236}">
              <a16:creationId xmlns:a16="http://schemas.microsoft.com/office/drawing/2014/main" id="{2CEB56E8-30D8-44E3-9B72-C5F3CF64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4911909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149" name="Picture 9">
          <a:extLst>
            <a:ext uri="{FF2B5EF4-FFF2-40B4-BE49-F238E27FC236}">
              <a16:creationId xmlns:a16="http://schemas.microsoft.com/office/drawing/2014/main" id="{36CA6333-DF1E-434A-A1EE-02829C84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78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151" name="Picture 9">
          <a:extLst>
            <a:ext uri="{FF2B5EF4-FFF2-40B4-BE49-F238E27FC236}">
              <a16:creationId xmlns:a16="http://schemas.microsoft.com/office/drawing/2014/main" id="{EBB93989-9B00-49C2-877F-51222F2F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203546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153" name="Picture 9">
          <a:extLst>
            <a:ext uri="{FF2B5EF4-FFF2-40B4-BE49-F238E27FC236}">
              <a16:creationId xmlns:a16="http://schemas.microsoft.com/office/drawing/2014/main" id="{32B8A2FB-975C-4FAB-B86F-A4C158C5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403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89" name="Picture 9">
          <a:extLst>
            <a:ext uri="{FF2B5EF4-FFF2-40B4-BE49-F238E27FC236}">
              <a16:creationId xmlns:a16="http://schemas.microsoft.com/office/drawing/2014/main" id="{FC7E1746-4196-44D4-8938-17128AF0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0" name="Picture 9">
          <a:extLst>
            <a:ext uri="{FF2B5EF4-FFF2-40B4-BE49-F238E27FC236}">
              <a16:creationId xmlns:a16="http://schemas.microsoft.com/office/drawing/2014/main" id="{D013CCB7-84F0-47ED-883A-BC1A22DB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1" name="Picture 9">
          <a:extLst>
            <a:ext uri="{FF2B5EF4-FFF2-40B4-BE49-F238E27FC236}">
              <a16:creationId xmlns:a16="http://schemas.microsoft.com/office/drawing/2014/main" id="{FD5081C4-BE56-47CD-B66E-28ED426C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2" name="Picture 9">
          <a:extLst>
            <a:ext uri="{FF2B5EF4-FFF2-40B4-BE49-F238E27FC236}">
              <a16:creationId xmlns:a16="http://schemas.microsoft.com/office/drawing/2014/main" id="{F31C1A44-3717-405C-8F36-6F4FE493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3" name="Picture 9">
          <a:extLst>
            <a:ext uri="{FF2B5EF4-FFF2-40B4-BE49-F238E27FC236}">
              <a16:creationId xmlns:a16="http://schemas.microsoft.com/office/drawing/2014/main" id="{9845AA7A-0CB6-49F7-B732-F9D30F10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4" name="Picture 9">
          <a:extLst>
            <a:ext uri="{FF2B5EF4-FFF2-40B4-BE49-F238E27FC236}">
              <a16:creationId xmlns:a16="http://schemas.microsoft.com/office/drawing/2014/main" id="{84C0DFDC-35C0-4133-B998-9FFE76D9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5" name="Picture 9">
          <a:extLst>
            <a:ext uri="{FF2B5EF4-FFF2-40B4-BE49-F238E27FC236}">
              <a16:creationId xmlns:a16="http://schemas.microsoft.com/office/drawing/2014/main" id="{F50C5D16-96B3-4B03-982A-AB10E91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7" name="Picture 9">
          <a:extLst>
            <a:ext uri="{FF2B5EF4-FFF2-40B4-BE49-F238E27FC236}">
              <a16:creationId xmlns:a16="http://schemas.microsoft.com/office/drawing/2014/main" id="{074F2C35-4D38-492D-A6B3-8F4D22FD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8" name="Picture 9">
          <a:extLst>
            <a:ext uri="{FF2B5EF4-FFF2-40B4-BE49-F238E27FC236}">
              <a16:creationId xmlns:a16="http://schemas.microsoft.com/office/drawing/2014/main" id="{7ABB5E8C-1E41-4646-B4DC-8761DBD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199" name="Picture 9">
          <a:extLst>
            <a:ext uri="{FF2B5EF4-FFF2-40B4-BE49-F238E27FC236}">
              <a16:creationId xmlns:a16="http://schemas.microsoft.com/office/drawing/2014/main" id="{0C7A96EF-340A-414A-9FFF-C718C81A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200" name="Picture 9">
          <a:extLst>
            <a:ext uri="{FF2B5EF4-FFF2-40B4-BE49-F238E27FC236}">
              <a16:creationId xmlns:a16="http://schemas.microsoft.com/office/drawing/2014/main" id="{742F9A60-F6A0-4D18-8411-27DE3417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201" name="Picture 9">
          <a:extLst>
            <a:ext uri="{FF2B5EF4-FFF2-40B4-BE49-F238E27FC236}">
              <a16:creationId xmlns:a16="http://schemas.microsoft.com/office/drawing/2014/main" id="{16106060-CB7E-4793-9BB1-DFA821C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202" name="Picture 9">
          <a:extLst>
            <a:ext uri="{FF2B5EF4-FFF2-40B4-BE49-F238E27FC236}">
              <a16:creationId xmlns:a16="http://schemas.microsoft.com/office/drawing/2014/main" id="{ACD06734-197D-43CF-9AE6-5538BE43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12</xdr:row>
      <xdr:rowOff>0</xdr:rowOff>
    </xdr:from>
    <xdr:ext cx="11800" cy="1236052"/>
    <xdr:pic>
      <xdr:nvPicPr>
        <xdr:cNvPr id="203" name="Picture 9">
          <a:extLst>
            <a:ext uri="{FF2B5EF4-FFF2-40B4-BE49-F238E27FC236}">
              <a16:creationId xmlns:a16="http://schemas.microsoft.com/office/drawing/2014/main" id="{EE215C55-2A81-4A53-81F7-51926486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210" name="Picture 9">
          <a:extLst>
            <a:ext uri="{FF2B5EF4-FFF2-40B4-BE49-F238E27FC236}">
              <a16:creationId xmlns:a16="http://schemas.microsoft.com/office/drawing/2014/main" id="{54116B02-ED76-4F1E-9BCB-5EEE1939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212" name="Picture 9">
          <a:extLst>
            <a:ext uri="{FF2B5EF4-FFF2-40B4-BE49-F238E27FC236}">
              <a16:creationId xmlns:a16="http://schemas.microsoft.com/office/drawing/2014/main" id="{2F9E07D0-65AA-43A0-A7B2-F4E87211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213" name="Picture 9">
          <a:extLst>
            <a:ext uri="{FF2B5EF4-FFF2-40B4-BE49-F238E27FC236}">
              <a16:creationId xmlns:a16="http://schemas.microsoft.com/office/drawing/2014/main" id="{F6A67265-9BC0-4136-9697-6AE2D2AA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217" name="Picture 9">
          <a:extLst>
            <a:ext uri="{FF2B5EF4-FFF2-40B4-BE49-F238E27FC236}">
              <a16:creationId xmlns:a16="http://schemas.microsoft.com/office/drawing/2014/main" id="{6CF5F2F6-B110-4668-BE20-CDB3470F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219" name="Picture 9">
          <a:extLst>
            <a:ext uri="{FF2B5EF4-FFF2-40B4-BE49-F238E27FC236}">
              <a16:creationId xmlns:a16="http://schemas.microsoft.com/office/drawing/2014/main" id="{EDA1F8A9-BB94-4C31-BCF4-F2C39BE5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6</xdr:row>
      <xdr:rowOff>0</xdr:rowOff>
    </xdr:from>
    <xdr:ext cx="11800" cy="1236052"/>
    <xdr:pic>
      <xdr:nvPicPr>
        <xdr:cNvPr id="220" name="Picture 9">
          <a:extLst>
            <a:ext uri="{FF2B5EF4-FFF2-40B4-BE49-F238E27FC236}">
              <a16:creationId xmlns:a16="http://schemas.microsoft.com/office/drawing/2014/main" id="{84561001-BAD0-48F3-A3CF-145547DD8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3</xdr:col>
      <xdr:colOff>1062182</xdr:colOff>
      <xdr:row>1</xdr:row>
      <xdr:rowOff>69271</xdr:rowOff>
    </xdr:from>
    <xdr:to>
      <xdr:col>7</xdr:col>
      <xdr:colOff>265546</xdr:colOff>
      <xdr:row>1</xdr:row>
      <xdr:rowOff>4798289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9F06F15C-830B-482E-B9D3-4154ABED0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11" r="-2277"/>
        <a:stretch/>
      </xdr:blipFill>
      <xdr:spPr>
        <a:xfrm>
          <a:off x="2990273" y="277089"/>
          <a:ext cx="6500091" cy="4729018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7</xdr:row>
      <xdr:rowOff>190501</xdr:rowOff>
    </xdr:from>
    <xdr:to>
      <xdr:col>5</xdr:col>
      <xdr:colOff>1780577</xdr:colOff>
      <xdr:row>7</xdr:row>
      <xdr:rowOff>530679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FC0BDE2B-7CE6-4897-BB35-BD1CBDD86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3704" y="145332451"/>
          <a:ext cx="1764248" cy="340178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9</xdr:row>
      <xdr:rowOff>81643</xdr:rowOff>
    </xdr:from>
    <xdr:to>
      <xdr:col>5</xdr:col>
      <xdr:colOff>1745662</xdr:colOff>
      <xdr:row>9</xdr:row>
      <xdr:rowOff>312964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75B5831B-F6BB-41FE-AC79-BE20651B0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34957" y="146693618"/>
          <a:ext cx="1636805" cy="231321"/>
        </a:xfrm>
        <a:prstGeom prst="rect">
          <a:avLst/>
        </a:prstGeom>
      </xdr:spPr>
    </xdr:pic>
    <xdr:clientData/>
  </xdr:twoCellAnchor>
  <xdr:oneCellAnchor>
    <xdr:from>
      <xdr:col>5</xdr:col>
      <xdr:colOff>54429</xdr:colOff>
      <xdr:row>8</xdr:row>
      <xdr:rowOff>190501</xdr:rowOff>
    </xdr:from>
    <xdr:ext cx="1767423" cy="340178"/>
    <xdr:pic>
      <xdr:nvPicPr>
        <xdr:cNvPr id="79" name="Рисунок 78">
          <a:extLst>
            <a:ext uri="{FF2B5EF4-FFF2-40B4-BE49-F238E27FC236}">
              <a16:creationId xmlns:a16="http://schemas.microsoft.com/office/drawing/2014/main" id="{1140760E-D460-475F-9C68-A809C6A79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3704" y="146065876"/>
          <a:ext cx="1767423" cy="340178"/>
        </a:xfrm>
        <a:prstGeom prst="rect">
          <a:avLst/>
        </a:prstGeom>
      </xdr:spPr>
    </xdr:pic>
    <xdr:clientData/>
  </xdr:oneCellAnchor>
  <xdr:twoCellAnchor editAs="oneCell">
    <xdr:from>
      <xdr:col>5</xdr:col>
      <xdr:colOff>408214</xdr:colOff>
      <xdr:row>10</xdr:row>
      <xdr:rowOff>68037</xdr:rowOff>
    </xdr:from>
    <xdr:to>
      <xdr:col>5</xdr:col>
      <xdr:colOff>1327150</xdr:colOff>
      <xdr:row>10</xdr:row>
      <xdr:rowOff>889000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01B858EE-518A-460F-9326-F754775F3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42396" y="9246673"/>
          <a:ext cx="918936" cy="820963"/>
        </a:xfrm>
        <a:prstGeom prst="rect">
          <a:avLst/>
        </a:prstGeom>
      </xdr:spPr>
    </xdr:pic>
    <xdr:clientData/>
  </xdr:twoCellAnchor>
  <xdr:twoCellAnchor>
    <xdr:from>
      <xdr:col>5</xdr:col>
      <xdr:colOff>429572</xdr:colOff>
      <xdr:row>11</xdr:row>
      <xdr:rowOff>31338</xdr:rowOff>
    </xdr:from>
    <xdr:to>
      <xdr:col>5</xdr:col>
      <xdr:colOff>1240312</xdr:colOff>
      <xdr:row>11</xdr:row>
      <xdr:rowOff>1003076</xdr:rowOff>
    </xdr:to>
    <xdr:pic>
      <xdr:nvPicPr>
        <xdr:cNvPr id="83" name="Picture 9">
          <a:extLst>
            <a:ext uri="{FF2B5EF4-FFF2-40B4-BE49-F238E27FC236}">
              <a16:creationId xmlns:a16="http://schemas.microsoft.com/office/drawing/2014/main" id="{55409652-1BEE-47EE-A906-A814DA083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6063754" y="22521883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1B88-4DA0-4465-AA6B-B9A12F17C722}">
  <sheetPr codeName="Лист1"/>
  <dimension ref="A1:AJ22"/>
  <sheetViews>
    <sheetView tabSelected="1" topLeftCell="B4" zoomScale="55" zoomScaleNormal="55" workbookViewId="0">
      <selection activeCell="E26" sqref="E26"/>
    </sheetView>
  </sheetViews>
  <sheetFormatPr defaultColWidth="9.140625" defaultRowHeight="15.75" x14ac:dyDescent="0.25"/>
  <cols>
    <col min="1" max="1" width="6.28515625" style="3" hidden="1" customWidth="1"/>
    <col min="2" max="2" width="7.7109375" style="7" customWidth="1"/>
    <col min="3" max="3" width="19.85546875" style="2" customWidth="1"/>
    <col min="4" max="4" width="41.28515625" style="2" customWidth="1"/>
    <col min="5" max="5" width="11.7109375" style="2" customWidth="1"/>
    <col min="6" max="6" width="26.7109375" style="2" customWidth="1"/>
    <col min="7" max="7" width="24.5703125" style="2" customWidth="1"/>
    <col min="8" max="8" width="10.140625" style="2" customWidth="1"/>
    <col min="9" max="10" width="11.7109375" style="2" customWidth="1"/>
    <col min="11" max="11" width="15.140625" style="8" customWidth="1"/>
    <col min="12" max="13" width="15.140625" style="7" customWidth="1"/>
    <col min="14" max="14" width="32" style="3" customWidth="1"/>
    <col min="15" max="15" width="13.85546875" style="3" customWidth="1"/>
    <col min="16" max="30" width="9.140625" style="7"/>
    <col min="31" max="16384" width="9.140625" style="3"/>
  </cols>
  <sheetData>
    <row r="1" spans="1:36" ht="16.5" thickBot="1" x14ac:dyDescent="0.3">
      <c r="A1" s="57" t="s">
        <v>59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36" ht="387" customHeight="1" thickBot="1" x14ac:dyDescent="0.3">
      <c r="A2" s="42"/>
      <c r="B2" s="62"/>
      <c r="C2" s="63"/>
      <c r="D2" s="63"/>
      <c r="E2" s="63"/>
      <c r="F2" s="63"/>
      <c r="G2" s="63"/>
      <c r="H2" s="63"/>
      <c r="I2" s="63"/>
      <c r="J2" s="63"/>
      <c r="K2" s="64"/>
      <c r="L2" s="3"/>
      <c r="M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6" ht="69" customHeight="1" thickBot="1" x14ac:dyDescent="0.3">
      <c r="A3" s="28"/>
      <c r="B3" s="14" t="s">
        <v>0</v>
      </c>
      <c r="C3" s="12" t="s">
        <v>2</v>
      </c>
      <c r="D3" s="12" t="s">
        <v>1</v>
      </c>
      <c r="E3" s="12" t="s">
        <v>9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5" t="s">
        <v>8</v>
      </c>
      <c r="L3" s="11" t="s">
        <v>10</v>
      </c>
      <c r="M3" s="11" t="s">
        <v>28</v>
      </c>
      <c r="N3" s="31" t="s">
        <v>29</v>
      </c>
      <c r="O3" s="32" t="s">
        <v>21</v>
      </c>
      <c r="P3" s="33"/>
      <c r="Q3" s="34" t="s">
        <v>19</v>
      </c>
      <c r="R3" s="33"/>
      <c r="S3" s="34" t="s">
        <v>20</v>
      </c>
      <c r="T3" s="33"/>
      <c r="U3" s="34" t="s">
        <v>23</v>
      </c>
      <c r="V3" s="33"/>
      <c r="W3" s="24" t="s">
        <v>26</v>
      </c>
      <c r="X3" s="33"/>
      <c r="Y3" s="24" t="s">
        <v>27</v>
      </c>
      <c r="Z3" s="33"/>
      <c r="AA3" s="24" t="s">
        <v>24</v>
      </c>
      <c r="AB3" s="33"/>
      <c r="AC3" s="24" t="s">
        <v>25</v>
      </c>
      <c r="AD3" s="33"/>
      <c r="AE3" s="24" t="s">
        <v>30</v>
      </c>
      <c r="AF3" s="33"/>
      <c r="AG3" s="24" t="s">
        <v>32</v>
      </c>
      <c r="AH3" s="33"/>
      <c r="AI3" s="24" t="s">
        <v>33</v>
      </c>
      <c r="AJ3" s="33"/>
    </row>
    <row r="4" spans="1:36" ht="16.5" thickBot="1" x14ac:dyDescent="0.3">
      <c r="A4" s="23"/>
      <c r="B4" s="59" t="s">
        <v>12</v>
      </c>
      <c r="C4" s="60"/>
      <c r="D4" s="60"/>
      <c r="E4" s="60"/>
      <c r="F4" s="60"/>
      <c r="G4" s="60"/>
      <c r="H4" s="60"/>
      <c r="I4" s="60"/>
      <c r="J4" s="60"/>
      <c r="K4" s="61"/>
      <c r="L4" s="26"/>
      <c r="M4" s="26"/>
    </row>
    <row r="5" spans="1:36" s="2" customFormat="1" ht="18.75" customHeight="1" x14ac:dyDescent="0.25">
      <c r="A5" s="50"/>
      <c r="B5" s="4">
        <v>1</v>
      </c>
      <c r="C5" s="4" t="s">
        <v>41</v>
      </c>
      <c r="D5" s="4" t="s">
        <v>42</v>
      </c>
      <c r="E5" s="46">
        <v>4</v>
      </c>
      <c r="F5" s="46"/>
      <c r="G5" s="56"/>
      <c r="H5" s="46">
        <v>0.3</v>
      </c>
      <c r="I5" s="46">
        <v>0.1</v>
      </c>
      <c r="J5" s="46">
        <v>0.1</v>
      </c>
      <c r="K5" s="51">
        <f t="shared" ref="K5" si="0">H5*I5*J5</f>
        <v>3.0000000000000001E-3</v>
      </c>
      <c r="L5" s="22">
        <f t="shared" ref="L5" si="1">K5*E5</f>
        <v>1.2E-2</v>
      </c>
      <c r="M5" s="22">
        <v>1.3</v>
      </c>
    </row>
    <row r="6" spans="1:36" s="2" customFormat="1" ht="33" customHeight="1" thickBot="1" x14ac:dyDescent="0.3">
      <c r="A6" s="49"/>
      <c r="B6" s="4">
        <v>2</v>
      </c>
      <c r="C6" s="4" t="s">
        <v>17</v>
      </c>
      <c r="D6" s="4" t="s">
        <v>16</v>
      </c>
      <c r="E6" s="6">
        <v>4</v>
      </c>
      <c r="F6" s="6"/>
      <c r="G6" s="43">
        <v>7015</v>
      </c>
      <c r="H6" s="6">
        <v>7.4999999999999997E-2</v>
      </c>
      <c r="I6" s="6">
        <v>7.4999999999999997E-2</v>
      </c>
      <c r="J6" s="6">
        <v>0.26</v>
      </c>
      <c r="K6" s="18">
        <f t="shared" ref="K6" si="2">H6*I6*J6</f>
        <v>1.4625E-3</v>
      </c>
      <c r="L6" s="22">
        <f t="shared" ref="L6:M15" si="3">K6*E6</f>
        <v>5.8500000000000002E-3</v>
      </c>
      <c r="M6" s="22">
        <v>3.6</v>
      </c>
      <c r="N6" s="35" t="s">
        <v>36</v>
      </c>
      <c r="P6" s="2">
        <f>O6*E6</f>
        <v>0</v>
      </c>
      <c r="R6" s="2">
        <f>Q6*E6</f>
        <v>0</v>
      </c>
      <c r="T6" s="2">
        <f t="shared" ref="T6" si="4">S6*E6</f>
        <v>0</v>
      </c>
      <c r="V6" s="2">
        <f t="shared" ref="V6" si="5">U6*E6</f>
        <v>0</v>
      </c>
      <c r="W6" s="2">
        <v>3</v>
      </c>
      <c r="X6" s="2">
        <f t="shared" ref="X6" si="6">W6*E6</f>
        <v>12</v>
      </c>
      <c r="Z6" s="2">
        <f t="shared" ref="Z6" si="7">Y6*E6</f>
        <v>0</v>
      </c>
      <c r="AA6" s="2">
        <v>3</v>
      </c>
      <c r="AB6" s="2">
        <f t="shared" ref="AB6" si="8">AA6*E6</f>
        <v>12</v>
      </c>
      <c r="AD6" s="2">
        <f t="shared" ref="AD6" si="9">AC6*E6</f>
        <v>0</v>
      </c>
      <c r="AF6" s="2">
        <f t="shared" ref="AF6" si="10">AE6*E6</f>
        <v>0</v>
      </c>
      <c r="AH6" s="2">
        <f t="shared" ref="AH6" si="11">AG6*E6</f>
        <v>0</v>
      </c>
      <c r="AJ6" s="2">
        <f t="shared" ref="AJ6" si="12">AI6*E6</f>
        <v>0</v>
      </c>
    </row>
    <row r="7" spans="1:36" ht="27" customHeight="1" thickBot="1" x14ac:dyDescent="0.3">
      <c r="A7" s="53"/>
      <c r="B7" s="71" t="s">
        <v>13</v>
      </c>
      <c r="C7" s="72"/>
      <c r="D7" s="72"/>
      <c r="E7" s="72"/>
      <c r="F7" s="72"/>
      <c r="G7" s="72"/>
      <c r="H7" s="72"/>
      <c r="I7" s="72"/>
      <c r="J7" s="72"/>
      <c r="K7" s="73"/>
      <c r="L7" s="22">
        <f t="shared" si="3"/>
        <v>0</v>
      </c>
      <c r="M7" s="22">
        <f t="shared" si="3"/>
        <v>0</v>
      </c>
      <c r="N7" s="37"/>
      <c r="O7" s="2"/>
      <c r="P7" s="2">
        <f t="shared" ref="P7:P15" si="13">O7*E7</f>
        <v>0</v>
      </c>
      <c r="R7" s="2">
        <f t="shared" ref="R7:R15" si="14">Q7*E7</f>
        <v>0</v>
      </c>
      <c r="T7" s="2">
        <f t="shared" ref="T7:T12" si="15">S7*E7</f>
        <v>0</v>
      </c>
      <c r="V7" s="2">
        <f t="shared" ref="V7:V12" si="16">U7*E7</f>
        <v>0</v>
      </c>
      <c r="X7" s="2">
        <f t="shared" ref="X7:X12" si="17">W7*E7</f>
        <v>0</v>
      </c>
      <c r="Z7" s="2">
        <f t="shared" ref="Z7:Z12" si="18">Y7*E7</f>
        <v>0</v>
      </c>
      <c r="AB7" s="2">
        <f t="shared" ref="AB7:AB12" si="19">AA7*E7</f>
        <v>0</v>
      </c>
      <c r="AD7" s="2">
        <f t="shared" ref="AD7:AD12" si="20">AC7*E7</f>
        <v>0</v>
      </c>
      <c r="AF7" s="2">
        <f t="shared" ref="AF7:AF12" si="21">AE7*E7</f>
        <v>0</v>
      </c>
      <c r="AH7" s="2">
        <f t="shared" ref="AH7:AH12" si="22">AG7*E7</f>
        <v>0</v>
      </c>
      <c r="AJ7" s="2">
        <f t="shared" ref="AJ7:AJ12" si="23">AI7*E7</f>
        <v>0</v>
      </c>
    </row>
    <row r="8" spans="1:36" s="2" customFormat="1" ht="57.6" customHeight="1" x14ac:dyDescent="0.25">
      <c r="A8" s="20"/>
      <c r="B8" s="10" t="s">
        <v>56</v>
      </c>
      <c r="C8" s="1" t="s">
        <v>43</v>
      </c>
      <c r="D8" s="1" t="s">
        <v>44</v>
      </c>
      <c r="E8" s="1">
        <v>2</v>
      </c>
      <c r="F8" s="1"/>
      <c r="G8" s="48">
        <v>6039</v>
      </c>
      <c r="H8" s="1">
        <v>2.2999999999999998</v>
      </c>
      <c r="I8" s="1">
        <v>0.3</v>
      </c>
      <c r="J8" s="5">
        <v>2.1000000000000001E-2</v>
      </c>
      <c r="K8" s="19">
        <f t="shared" ref="K8:K11" si="24">H8*I8*J8</f>
        <v>1.4489999999999999E-2</v>
      </c>
      <c r="L8" s="22">
        <f t="shared" si="3"/>
        <v>2.8979999999999999E-2</v>
      </c>
      <c r="M8" s="41">
        <v>13.910399999999999</v>
      </c>
      <c r="N8" s="30" t="s">
        <v>35</v>
      </c>
      <c r="P8" s="2">
        <f t="shared" si="13"/>
        <v>0</v>
      </c>
      <c r="R8" s="2">
        <f t="shared" si="14"/>
        <v>0</v>
      </c>
      <c r="T8" s="2">
        <f t="shared" si="15"/>
        <v>0</v>
      </c>
      <c r="V8" s="2">
        <f t="shared" si="16"/>
        <v>0</v>
      </c>
      <c r="X8" s="2">
        <f t="shared" si="17"/>
        <v>0</v>
      </c>
      <c r="Y8" s="2">
        <v>4</v>
      </c>
      <c r="Z8" s="2">
        <f t="shared" si="18"/>
        <v>8</v>
      </c>
      <c r="AA8" s="2">
        <v>4</v>
      </c>
      <c r="AB8" s="2">
        <f t="shared" si="19"/>
        <v>8</v>
      </c>
      <c r="AD8" s="2">
        <f t="shared" si="20"/>
        <v>0</v>
      </c>
      <c r="AF8" s="2">
        <f t="shared" si="21"/>
        <v>0</v>
      </c>
      <c r="AH8" s="2">
        <f t="shared" si="22"/>
        <v>0</v>
      </c>
      <c r="AJ8" s="2">
        <f t="shared" si="23"/>
        <v>0</v>
      </c>
    </row>
    <row r="9" spans="1:36" s="2" customFormat="1" ht="57.6" customHeight="1" x14ac:dyDescent="0.25">
      <c r="A9" s="20"/>
      <c r="B9" s="10" t="s">
        <v>57</v>
      </c>
      <c r="C9" s="1" t="s">
        <v>45</v>
      </c>
      <c r="D9" s="1" t="s">
        <v>44</v>
      </c>
      <c r="E9" s="1">
        <v>2</v>
      </c>
      <c r="F9" s="1"/>
      <c r="G9" s="47">
        <v>6010</v>
      </c>
      <c r="H9" s="1">
        <v>2.2999999999999998</v>
      </c>
      <c r="I9" s="1">
        <v>0.3</v>
      </c>
      <c r="J9" s="5">
        <v>2.1000000000000001E-2</v>
      </c>
      <c r="K9" s="19">
        <f t="shared" si="24"/>
        <v>1.4489999999999999E-2</v>
      </c>
      <c r="L9" s="22">
        <f t="shared" si="3"/>
        <v>2.8979999999999999E-2</v>
      </c>
      <c r="M9" s="41">
        <v>13.910399999999999</v>
      </c>
      <c r="N9" s="30" t="s">
        <v>35</v>
      </c>
      <c r="P9" s="2">
        <f t="shared" si="13"/>
        <v>0</v>
      </c>
      <c r="R9" s="2">
        <f t="shared" si="14"/>
        <v>0</v>
      </c>
      <c r="T9" s="2">
        <f t="shared" si="15"/>
        <v>0</v>
      </c>
      <c r="V9" s="2">
        <f t="shared" si="16"/>
        <v>0</v>
      </c>
      <c r="X9" s="2">
        <f t="shared" si="17"/>
        <v>0</v>
      </c>
      <c r="Y9" s="2">
        <v>4</v>
      </c>
      <c r="Z9" s="2">
        <f t="shared" si="18"/>
        <v>8</v>
      </c>
      <c r="AA9" s="2">
        <v>4</v>
      </c>
      <c r="AB9" s="2">
        <f t="shared" si="19"/>
        <v>8</v>
      </c>
      <c r="AD9" s="2">
        <f t="shared" si="20"/>
        <v>0</v>
      </c>
      <c r="AF9" s="2">
        <f t="shared" si="21"/>
        <v>0</v>
      </c>
      <c r="AH9" s="2">
        <f t="shared" si="22"/>
        <v>0</v>
      </c>
      <c r="AJ9" s="2">
        <f t="shared" si="23"/>
        <v>0</v>
      </c>
    </row>
    <row r="10" spans="1:36" s="2" customFormat="1" ht="40.5" customHeight="1" x14ac:dyDescent="0.25">
      <c r="A10" s="20"/>
      <c r="B10" s="10" t="s">
        <v>58</v>
      </c>
      <c r="C10" s="1" t="s">
        <v>46</v>
      </c>
      <c r="D10" s="1" t="s">
        <v>47</v>
      </c>
      <c r="E10" s="1">
        <v>1</v>
      </c>
      <c r="F10" s="1"/>
      <c r="G10" s="13">
        <v>1023</v>
      </c>
      <c r="H10" s="1">
        <v>2.5</v>
      </c>
      <c r="I10" s="1">
        <v>0.3</v>
      </c>
      <c r="J10" s="5">
        <v>2.1000000000000001E-2</v>
      </c>
      <c r="K10" s="19">
        <f t="shared" si="24"/>
        <v>1.575E-2</v>
      </c>
      <c r="L10" s="22">
        <f t="shared" si="3"/>
        <v>1.575E-2</v>
      </c>
      <c r="M10" s="41">
        <v>14.716799999999999</v>
      </c>
      <c r="N10" s="30" t="s">
        <v>34</v>
      </c>
      <c r="P10" s="2">
        <f t="shared" si="13"/>
        <v>0</v>
      </c>
      <c r="R10" s="2">
        <f t="shared" si="14"/>
        <v>0</v>
      </c>
      <c r="T10" s="2">
        <f t="shared" si="15"/>
        <v>0</v>
      </c>
      <c r="V10" s="2">
        <f t="shared" si="16"/>
        <v>0</v>
      </c>
      <c r="X10" s="2">
        <f t="shared" si="17"/>
        <v>0</v>
      </c>
      <c r="Y10" s="2">
        <v>2</v>
      </c>
      <c r="Z10" s="2">
        <f t="shared" si="18"/>
        <v>2</v>
      </c>
      <c r="AA10" s="2">
        <v>2</v>
      </c>
      <c r="AB10" s="2">
        <f t="shared" si="19"/>
        <v>2</v>
      </c>
      <c r="AD10" s="2">
        <f t="shared" si="20"/>
        <v>0</v>
      </c>
      <c r="AF10" s="2">
        <f t="shared" si="21"/>
        <v>0</v>
      </c>
      <c r="AH10" s="2">
        <f t="shared" si="22"/>
        <v>0</v>
      </c>
      <c r="AJ10" s="2">
        <f t="shared" si="23"/>
        <v>0</v>
      </c>
    </row>
    <row r="11" spans="1:36" s="2" customFormat="1" ht="78" customHeight="1" x14ac:dyDescent="0.25">
      <c r="A11" s="20"/>
      <c r="B11" s="10" t="s">
        <v>39</v>
      </c>
      <c r="C11" s="1" t="s">
        <v>48</v>
      </c>
      <c r="D11" s="1" t="s">
        <v>49</v>
      </c>
      <c r="E11" s="1">
        <v>2</v>
      </c>
      <c r="F11" s="1"/>
      <c r="G11" s="13">
        <v>1023</v>
      </c>
      <c r="H11" s="1">
        <v>0.37</v>
      </c>
      <c r="I11" s="1">
        <v>0.37</v>
      </c>
      <c r="J11" s="5">
        <v>2.1000000000000001E-2</v>
      </c>
      <c r="K11" s="19">
        <f t="shared" si="24"/>
        <v>2.8749000000000001E-3</v>
      </c>
      <c r="L11" s="22">
        <f t="shared" si="3"/>
        <v>5.7498000000000002E-3</v>
      </c>
      <c r="M11" s="41">
        <v>1.93536</v>
      </c>
      <c r="N11" s="30" t="s">
        <v>50</v>
      </c>
      <c r="P11" s="2">
        <f t="shared" si="13"/>
        <v>0</v>
      </c>
      <c r="R11" s="2">
        <f t="shared" si="14"/>
        <v>0</v>
      </c>
      <c r="T11" s="2">
        <f t="shared" si="15"/>
        <v>0</v>
      </c>
      <c r="V11" s="2">
        <f t="shared" si="16"/>
        <v>0</v>
      </c>
      <c r="X11" s="2">
        <f t="shared" si="17"/>
        <v>0</v>
      </c>
      <c r="Y11" s="2">
        <v>1</v>
      </c>
      <c r="Z11" s="2">
        <f t="shared" si="18"/>
        <v>2</v>
      </c>
      <c r="AA11" s="2">
        <v>1</v>
      </c>
      <c r="AB11" s="2">
        <f t="shared" si="19"/>
        <v>2</v>
      </c>
      <c r="AD11" s="2">
        <f t="shared" si="20"/>
        <v>0</v>
      </c>
      <c r="AF11" s="2">
        <f t="shared" si="21"/>
        <v>0</v>
      </c>
      <c r="AH11" s="2">
        <f t="shared" si="22"/>
        <v>0</v>
      </c>
      <c r="AJ11" s="2">
        <f t="shared" si="23"/>
        <v>0</v>
      </c>
    </row>
    <row r="12" spans="1:36" s="2" customFormat="1" ht="86.25" customHeight="1" thickBot="1" x14ac:dyDescent="0.3">
      <c r="A12" s="55"/>
      <c r="B12" s="10" t="s">
        <v>40</v>
      </c>
      <c r="C12" s="9" t="s">
        <v>18</v>
      </c>
      <c r="D12" s="9" t="s">
        <v>14</v>
      </c>
      <c r="E12" s="9">
        <v>10</v>
      </c>
      <c r="F12" s="9"/>
      <c r="G12" s="52">
        <v>7015</v>
      </c>
      <c r="H12" s="9">
        <v>6.2E-2</v>
      </c>
      <c r="I12" s="9">
        <v>6.2E-2</v>
      </c>
      <c r="J12" s="9">
        <v>0.04</v>
      </c>
      <c r="K12" s="29">
        <f>H12*I12*J12</f>
        <v>1.5375999999999999E-4</v>
      </c>
      <c r="L12" s="22">
        <f t="shared" ref="L12" si="25">K12*E12</f>
        <v>1.5375999999999999E-3</v>
      </c>
      <c r="M12" s="41">
        <f t="shared" ref="M12" si="26">L12*F12</f>
        <v>0</v>
      </c>
      <c r="N12" s="30" t="s">
        <v>31</v>
      </c>
      <c r="O12" s="2">
        <v>2</v>
      </c>
      <c r="P12" s="2">
        <f t="shared" ref="P12" si="27">O12*E12</f>
        <v>20</v>
      </c>
      <c r="R12" s="2">
        <f t="shared" ref="R12" si="28">Q12*E12</f>
        <v>0</v>
      </c>
      <c r="T12" s="2">
        <f t="shared" si="15"/>
        <v>0</v>
      </c>
      <c r="V12" s="2">
        <f t="shared" si="16"/>
        <v>0</v>
      </c>
      <c r="X12" s="2">
        <f t="shared" si="17"/>
        <v>0</v>
      </c>
      <c r="Z12" s="2">
        <f t="shared" si="18"/>
        <v>0</v>
      </c>
      <c r="AA12" s="2">
        <v>2</v>
      </c>
      <c r="AB12" s="2">
        <f t="shared" si="19"/>
        <v>20</v>
      </c>
      <c r="AC12" s="2">
        <v>2</v>
      </c>
      <c r="AD12" s="2">
        <f t="shared" si="20"/>
        <v>20</v>
      </c>
      <c r="AF12" s="2">
        <f t="shared" si="21"/>
        <v>0</v>
      </c>
      <c r="AH12" s="2">
        <f t="shared" si="22"/>
        <v>0</v>
      </c>
      <c r="AJ12" s="2">
        <f t="shared" si="23"/>
        <v>0</v>
      </c>
    </row>
    <row r="13" spans="1:36" ht="27" customHeight="1" thickBot="1" x14ac:dyDescent="0.3">
      <c r="A13" s="54"/>
      <c r="B13" s="65" t="s">
        <v>15</v>
      </c>
      <c r="C13" s="66"/>
      <c r="D13" s="66"/>
      <c r="E13" s="66"/>
      <c r="F13" s="66"/>
      <c r="G13" s="66"/>
      <c r="H13" s="66"/>
      <c r="I13" s="66"/>
      <c r="J13" s="66"/>
      <c r="K13" s="67"/>
      <c r="L13" s="22">
        <f t="shared" si="3"/>
        <v>0</v>
      </c>
      <c r="M13" s="22">
        <f t="shared" si="3"/>
        <v>0</v>
      </c>
      <c r="N13" s="37"/>
      <c r="P13" s="2">
        <f t="shared" si="13"/>
        <v>0</v>
      </c>
      <c r="R13" s="2">
        <f t="shared" si="14"/>
        <v>0</v>
      </c>
      <c r="T13" s="2">
        <f t="shared" ref="T13:T15" si="29">S13*E13</f>
        <v>0</v>
      </c>
      <c r="V13" s="2">
        <f t="shared" ref="V13:V15" si="30">U13*E13</f>
        <v>0</v>
      </c>
      <c r="X13" s="2">
        <f t="shared" ref="X13:X15" si="31">W13*E13</f>
        <v>0</v>
      </c>
      <c r="Z13" s="2">
        <f t="shared" ref="Z13:Z15" si="32">Y13*E13</f>
        <v>0</v>
      </c>
      <c r="AB13" s="2">
        <f t="shared" ref="AB13:AB15" si="33">AA13*E13</f>
        <v>0</v>
      </c>
      <c r="AD13" s="2">
        <f t="shared" ref="AD13:AD15" si="34">AC13*E13</f>
        <v>0</v>
      </c>
      <c r="AF13" s="2">
        <f t="shared" ref="AF13:AF15" si="35">AE13*E13</f>
        <v>0</v>
      </c>
      <c r="AH13" s="2">
        <f t="shared" ref="AH13:AH15" si="36">AG13*E13</f>
        <v>0</v>
      </c>
      <c r="AJ13" s="2">
        <f t="shared" ref="AJ13:AJ15" si="37">AI13*E13</f>
        <v>0</v>
      </c>
    </row>
    <row r="14" spans="1:36" ht="58.5" customHeight="1" x14ac:dyDescent="0.25">
      <c r="A14" s="16"/>
      <c r="B14" s="5">
        <v>8</v>
      </c>
      <c r="C14" s="38"/>
      <c r="D14" s="24" t="s">
        <v>37</v>
      </c>
      <c r="E14" s="5">
        <v>20</v>
      </c>
      <c r="F14" s="5"/>
      <c r="G14" s="5" t="s">
        <v>11</v>
      </c>
      <c r="H14" s="5">
        <v>2.7E-2</v>
      </c>
      <c r="I14" s="5">
        <v>2.7E-2</v>
      </c>
      <c r="J14" s="5">
        <v>1.6E-2</v>
      </c>
      <c r="K14" s="17">
        <f t="shared" ref="K14:K15" si="38">H14*I14*J14</f>
        <v>1.1663999999999999E-5</v>
      </c>
      <c r="L14" s="22">
        <f t="shared" si="3"/>
        <v>2.3327999999999999E-4</v>
      </c>
      <c r="M14" s="22">
        <f t="shared" si="3"/>
        <v>0</v>
      </c>
      <c r="N14" s="37"/>
      <c r="P14" s="2">
        <f t="shared" si="13"/>
        <v>0</v>
      </c>
      <c r="R14" s="2">
        <f t="shared" si="14"/>
        <v>0</v>
      </c>
      <c r="T14" s="2">
        <f t="shared" si="29"/>
        <v>0</v>
      </c>
      <c r="V14" s="2">
        <f t="shared" si="30"/>
        <v>0</v>
      </c>
      <c r="X14" s="2">
        <f t="shared" si="31"/>
        <v>0</v>
      </c>
      <c r="Z14" s="2">
        <f t="shared" si="32"/>
        <v>0</v>
      </c>
      <c r="AB14" s="2">
        <f t="shared" si="33"/>
        <v>0</v>
      </c>
      <c r="AD14" s="2">
        <f t="shared" si="34"/>
        <v>0</v>
      </c>
      <c r="AF14" s="2">
        <f t="shared" si="35"/>
        <v>0</v>
      </c>
      <c r="AH14" s="2">
        <f t="shared" si="36"/>
        <v>0</v>
      </c>
      <c r="AJ14" s="2">
        <f t="shared" si="37"/>
        <v>0</v>
      </c>
    </row>
    <row r="15" spans="1:36" ht="66.599999999999994" customHeight="1" thickBot="1" x14ac:dyDescent="0.3">
      <c r="A15" s="16"/>
      <c r="B15" s="1">
        <v>9</v>
      </c>
      <c r="C15" s="21"/>
      <c r="D15" s="24" t="s">
        <v>38</v>
      </c>
      <c r="E15" s="1">
        <v>32</v>
      </c>
      <c r="F15" s="1"/>
      <c r="G15" s="1" t="s">
        <v>11</v>
      </c>
      <c r="H15" s="1">
        <v>3.5999999999999997E-2</v>
      </c>
      <c r="I15" s="1">
        <v>3.5999999999999997E-2</v>
      </c>
      <c r="J15" s="1">
        <v>2.3E-2</v>
      </c>
      <c r="K15" s="45">
        <f t="shared" si="38"/>
        <v>2.9807999999999996E-5</v>
      </c>
      <c r="L15" s="27">
        <f t="shared" si="3"/>
        <v>9.5385599999999989E-4</v>
      </c>
      <c r="M15" s="27">
        <f t="shared" si="3"/>
        <v>0</v>
      </c>
      <c r="N15" s="37"/>
      <c r="P15" s="2">
        <f t="shared" si="13"/>
        <v>0</v>
      </c>
      <c r="R15" s="2">
        <f t="shared" si="14"/>
        <v>0</v>
      </c>
      <c r="T15" s="2">
        <f t="shared" si="29"/>
        <v>0</v>
      </c>
      <c r="V15" s="2">
        <f t="shared" si="30"/>
        <v>0</v>
      </c>
      <c r="X15" s="2">
        <f t="shared" si="31"/>
        <v>0</v>
      </c>
      <c r="Z15" s="2">
        <f t="shared" si="32"/>
        <v>0</v>
      </c>
      <c r="AB15" s="2">
        <f t="shared" si="33"/>
        <v>0</v>
      </c>
      <c r="AD15" s="2">
        <f t="shared" si="34"/>
        <v>0</v>
      </c>
      <c r="AF15" s="2">
        <f t="shared" si="35"/>
        <v>0</v>
      </c>
      <c r="AH15" s="2">
        <f t="shared" si="36"/>
        <v>0</v>
      </c>
      <c r="AJ15" s="2">
        <f t="shared" si="37"/>
        <v>0</v>
      </c>
    </row>
    <row r="16" spans="1:36" customFormat="1" ht="26.1" customHeight="1" thickBot="1" x14ac:dyDescent="0.3">
      <c r="A16" s="68" t="s">
        <v>22</v>
      </c>
      <c r="B16" s="69"/>
      <c r="C16" s="69"/>
      <c r="D16" s="69"/>
      <c r="E16" s="69"/>
      <c r="F16" s="69"/>
      <c r="G16" s="70"/>
      <c r="H16" s="44"/>
      <c r="I16" s="44"/>
      <c r="J16" s="44"/>
      <c r="P16" s="36">
        <f>SUM(P6:P15)</f>
        <v>20</v>
      </c>
      <c r="Q16" s="36"/>
      <c r="R16" s="36">
        <f>SUM(R6:R15)</f>
        <v>0</v>
      </c>
      <c r="S16" s="36"/>
      <c r="T16" s="36">
        <f>SUM(T6:T15)</f>
        <v>0</v>
      </c>
      <c r="U16" s="36"/>
      <c r="V16" s="36">
        <f>SUM(V6:V15)</f>
        <v>0</v>
      </c>
      <c r="W16" s="36"/>
      <c r="X16" s="36">
        <f>SUM(X6:X15)</f>
        <v>12</v>
      </c>
      <c r="Y16" s="36"/>
      <c r="Z16" s="36">
        <f>SUM(Z6:Z15)</f>
        <v>20</v>
      </c>
      <c r="AA16" s="36"/>
      <c r="AB16" s="36">
        <f>SUM(AB6:AB15)</f>
        <v>52</v>
      </c>
      <c r="AC16" s="36"/>
      <c r="AD16" s="36">
        <f>SUM(AD6:AD15)</f>
        <v>20</v>
      </c>
      <c r="AF16" s="36">
        <f>SUM(AF6:AF15)</f>
        <v>0</v>
      </c>
      <c r="AH16" s="36">
        <f>SUM(AH6:AH15)</f>
        <v>0</v>
      </c>
      <c r="AJ16" s="36">
        <f>SUM(AJ6:AJ15)</f>
        <v>0</v>
      </c>
    </row>
    <row r="17" spans="1:30" customFormat="1" ht="35.450000000000003" customHeight="1" x14ac:dyDescent="0.25">
      <c r="A17" s="39">
        <v>153</v>
      </c>
      <c r="B17" s="25"/>
      <c r="C17" s="25"/>
      <c r="D17" s="24" t="s">
        <v>51</v>
      </c>
      <c r="E17" s="25">
        <v>20</v>
      </c>
      <c r="F17" s="25"/>
      <c r="G17" s="25"/>
      <c r="H17" s="24"/>
      <c r="I17" s="44"/>
      <c r="J17" s="44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 customFormat="1" ht="18.95" customHeight="1" x14ac:dyDescent="0.25">
      <c r="A18" s="40">
        <v>154</v>
      </c>
      <c r="B18" s="24"/>
      <c r="C18" s="24"/>
      <c r="D18" s="24" t="s">
        <v>52</v>
      </c>
      <c r="E18" s="24">
        <v>12</v>
      </c>
      <c r="F18" s="24"/>
      <c r="G18" s="24"/>
      <c r="H18" s="24"/>
      <c r="I18" s="44"/>
      <c r="J18" s="44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 customFormat="1" ht="18.95" customHeight="1" x14ac:dyDescent="0.25">
      <c r="A19" s="40">
        <v>158</v>
      </c>
      <c r="B19" s="24"/>
      <c r="C19" s="24"/>
      <c r="D19" s="24" t="s">
        <v>53</v>
      </c>
      <c r="E19" s="24">
        <v>20</v>
      </c>
      <c r="F19" s="24"/>
      <c r="G19" s="24"/>
      <c r="H19" s="24"/>
      <c r="I19" s="44"/>
      <c r="J19" s="44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 customFormat="1" ht="18.95" customHeight="1" x14ac:dyDescent="0.25">
      <c r="A20" s="40">
        <v>159</v>
      </c>
      <c r="B20" s="24"/>
      <c r="C20" s="24"/>
      <c r="D20" s="24" t="s">
        <v>54</v>
      </c>
      <c r="E20" s="24">
        <v>52</v>
      </c>
      <c r="F20" s="24"/>
      <c r="G20" s="24"/>
      <c r="H20" s="24"/>
      <c r="I20" s="44"/>
      <c r="J20" s="44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 customFormat="1" ht="18.95" customHeight="1" x14ac:dyDescent="0.25">
      <c r="A21" s="40">
        <v>162</v>
      </c>
      <c r="B21" s="24"/>
      <c r="C21" s="24"/>
      <c r="D21" s="24" t="s">
        <v>55</v>
      </c>
      <c r="E21" s="24">
        <v>20</v>
      </c>
      <c r="F21" s="24"/>
      <c r="G21" s="24"/>
      <c r="H21" s="24"/>
      <c r="I21" s="44"/>
      <c r="J21" s="44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x14ac:dyDescent="0.25">
      <c r="B22" s="74"/>
      <c r="C22" s="34"/>
      <c r="D22" s="24" t="s">
        <v>60</v>
      </c>
      <c r="E22" s="24">
        <v>20</v>
      </c>
      <c r="F22" s="34"/>
      <c r="G22" s="34"/>
      <c r="H22" s="34"/>
    </row>
  </sheetData>
  <mergeCells count="6">
    <mergeCell ref="A1:K1"/>
    <mergeCell ref="B4:K4"/>
    <mergeCell ref="B2:K2"/>
    <mergeCell ref="B13:K13"/>
    <mergeCell ref="A16:G16"/>
    <mergeCell ref="B7:K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Спецификация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2026-07-13T06:57:33Z</cp:lastPrinted>
  <dcterms:created xsi:type="dcterms:W3CDTF">2017-04-27T07:18:00Z</dcterms:created>
  <dcterms:modified xsi:type="dcterms:W3CDTF">2026-07-13T06:58:46Z</dcterms:modified>
</cp:coreProperties>
</file>