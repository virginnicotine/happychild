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111\Downloads\"/>
    </mc:Choice>
  </mc:AlternateContent>
  <xr:revisionPtr revIDLastSave="0" documentId="13_ncr:1_{5CE7F68B-A7DB-4EE2-9916-3B84268D58D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1" l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</calcChain>
</file>

<file path=xl/sharedStrings.xml><?xml version="1.0" encoding="utf-8"?>
<sst xmlns="http://schemas.openxmlformats.org/spreadsheetml/2006/main" count="152" uniqueCount="67">
  <si>
    <t>ПСР-1.13</t>
  </si>
  <si>
    <t>Размер  2,40 х 2,20 х 3,00 м</t>
  </si>
  <si>
    <t>№ п/п</t>
  </si>
  <si>
    <t>Артикул</t>
  </si>
  <si>
    <t>Наименование</t>
  </si>
  <si>
    <t>Кол-во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</si>
  <si>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</si>
  <si>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</si>
  <si>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</si>
  <si>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</si>
  <si>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</si>
  <si>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</si>
  <si>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0042ДБ</t>
  </si>
  <si>
    <t>Столб (брус 100х100) 1800 мм</t>
  </si>
  <si>
    <t>Материал</t>
  </si>
  <si>
    <t>Цвет, RAL 8014</t>
  </si>
  <si>
    <t>0029ДБ</t>
  </si>
  <si>
    <t>Столб (брус 100х100) 2700 мм</t>
  </si>
  <si>
    <t>0034ДБ</t>
  </si>
  <si>
    <t>Столб (брус 100х100) 3000 мм</t>
  </si>
  <si>
    <t>0013МП</t>
  </si>
  <si>
    <t>Закладная для столба 100х100</t>
  </si>
  <si>
    <t>Сборка</t>
  </si>
  <si>
    <t>Цвет, RAL 7047</t>
  </si>
  <si>
    <t>000741</t>
  </si>
  <si>
    <t xml:space="preserve">Борт песочницы к столбам 1.13
1199 x 300 x 21 </t>
  </si>
  <si>
    <t>Цвет, RAL 6018</t>
  </si>
  <si>
    <t>ШурупГл8х80</t>
  </si>
  <si>
    <t>8х80 ОЦ. Шуруп для крепления дер. Лаг (глухарь) DIN 571</t>
  </si>
  <si>
    <t>ШайбаМ8</t>
  </si>
  <si>
    <t>М8 ОЦ. Шайба ГОСТ 11371-78 (DIN 125)</t>
  </si>
  <si>
    <t>000742</t>
  </si>
  <si>
    <t xml:space="preserve">Борт песочницы боковой 1.13
1111 x 300 x 21 </t>
  </si>
  <si>
    <t>000744</t>
  </si>
  <si>
    <t xml:space="preserve">Верх.борт меж.столбов песочн. 1.13
1356 x 220 x 21 </t>
  </si>
  <si>
    <t>Цвет, RAL 2008</t>
  </si>
  <si>
    <t>000745</t>
  </si>
  <si>
    <t>Верх.борт боковой песочницы 1.13
990 x 220 x 21</t>
  </si>
  <si>
    <t>000743</t>
  </si>
  <si>
    <t xml:space="preserve">Фронтон крыши песочницы 1.13
386 x 1282 x 21 </t>
  </si>
  <si>
    <t>000746</t>
  </si>
  <si>
    <t>Крыша песочницы 1.13
1200 x 1180 x 15</t>
  </si>
  <si>
    <t>000750</t>
  </si>
  <si>
    <t>Накладка на крышу песочницы 1.13
512 x 236 x 15</t>
  </si>
  <si>
    <t>БолтМеб 6х45</t>
  </si>
  <si>
    <t>6х45 ОЦ. Болт мебельный с усом ГОСТ 7801-81 (DIN 607)</t>
  </si>
  <si>
    <t>ГайкаМ6</t>
  </si>
  <si>
    <t>М6 ОЦ. Гайка шестигранная ГОСТ 5915-70</t>
  </si>
  <si>
    <t>000749</t>
  </si>
  <si>
    <t xml:space="preserve">Соединитель борта1 песочницы 1.13
297 x 317 x 15   </t>
  </si>
  <si>
    <t>000748</t>
  </si>
  <si>
    <t xml:space="preserve">Соединитель борта2 песочницы 1.13
367 x 256 x 15 </t>
  </si>
  <si>
    <t>000747</t>
  </si>
  <si>
    <t xml:space="preserve">Соед.звезда фронтона песочницы 1.13
188 x 180 x 15  </t>
  </si>
  <si>
    <t>000192</t>
  </si>
  <si>
    <t xml:space="preserve">Элемент Дерево
299 x 599 x 15 </t>
  </si>
  <si>
    <t>0003МП</t>
  </si>
  <si>
    <t>Уголок крепежный 55х55х40</t>
  </si>
  <si>
    <t>0212МП</t>
  </si>
  <si>
    <t>Перемычка ПСР-1.13 430х430</t>
  </si>
  <si>
    <t>КЧМ6КС</t>
  </si>
  <si>
    <t>Заглушка К4М6КС</t>
  </si>
  <si>
    <t>Цвет, RAL черный</t>
  </si>
  <si>
    <t>КЧМ8КС</t>
  </si>
  <si>
    <t>Заглушка К4М8КС</t>
  </si>
  <si>
    <t>100-100.11.КК</t>
  </si>
  <si>
    <t>Заглушка 100-100.11КК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</si>
</sst>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_-* #,##0.0000\ _₽_-;\-* #,##0.0000\ _₽_-;_-* &quot;-&quot;??\ _₽_-;_-@_-"/>
    <numFmt numFmtId="166" formatCode="0.000"/>
  </numFmts>
  <fonts count="19" x14ac:knownFonts="1">
    <font>
      <sz val="11"/>
      <color theme="1"/>
      <name val="Calibri"/>
      <scheme val="minor"/>
    </font>
    <font>
      <i/>
      <sz val="10"/>
      <color theme="1"/>
      <name val="Arial"/>
    </font>
    <font>
      <b/>
      <sz val="16"/>
      <color theme="1"/>
      <name val="Calibri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i/>
      <sz val="11"/>
      <color theme="1"/>
      <name val="Arial"/>
    </font>
    <font>
      <sz val="12"/>
      <color theme="1"/>
      <name val="Calibri"/>
      <scheme val="minor"/>
    </font>
    <font>
      <sz val="10"/>
      <color theme="1"/>
      <name val="Arial"/>
    </font>
    <font>
      <b/>
      <sz val="12"/>
      <name val="Calibri"/>
      <scheme val="minor"/>
    </font>
    <font>
      <sz val="12"/>
      <color theme="0"/>
      <name val="Calibri"/>
      <scheme val="minor"/>
    </font>
    <font>
      <b/>
      <sz val="14"/>
      <color theme="1"/>
      <name val="Arial"/>
    </font>
    <font>
      <sz val="12"/>
      <name val="Calibri"/>
      <scheme val="minor"/>
    </font>
    <font>
      <sz val="10"/>
      <name val="Calibri"/>
      <scheme val="minor"/>
    </font>
    <font>
      <sz val="10"/>
      <color theme="1"/>
      <name val="Calibri"/>
      <scheme val="minor"/>
    </font>
    <font>
      <b/>
      <i/>
      <sz val="11"/>
      <color theme="1"/>
      <name val="Arial"/>
    </font>
    <font>
      <b/>
      <sz val="12"/>
      <name val="Arial"/>
    </font>
    <font>
      <b/>
      <sz val="12"/>
      <color theme="1"/>
      <name val="Arial"/>
    </font>
    <font>
      <b/>
      <i/>
      <sz val="10"/>
      <color theme="1"/>
      <name val="Arial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663300"/>
        <bgColor rgb="FF6633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4" fontId="18" fillId="0" borderId="0" applyFont="0" applyFill="0" applyBorder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vertical="center"/>
    </xf>
    <xf numFmtId="165" fontId="0" fillId="0" borderId="0" xfId="1" applyNumberFormat="1"/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7" xfId="0" applyFont="1" applyBorder="1"/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center" vertical="center" wrapText="1"/>
    </xf>
    <xf numFmtId="165" fontId="6" fillId="0" borderId="8" xfId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/>
    <xf numFmtId="0" fontId="3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166" fontId="6" fillId="0" borderId="8" xfId="0" applyNumberFormat="1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textRotation="90" wrapText="1"/>
    </xf>
    <xf numFmtId="0" fontId="8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5" fillId="0" borderId="10" xfId="0" applyFont="1" applyBorder="1"/>
    <xf numFmtId="49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 indent="1"/>
    </xf>
    <xf numFmtId="0" fontId="11" fillId="5" borderId="8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/>
    </xf>
    <xf numFmtId="0" fontId="14" fillId="0" borderId="10" xfId="0" applyFont="1" applyBorder="1"/>
    <xf numFmtId="0" fontId="13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textRotation="90" wrapText="1"/>
    </xf>
    <xf numFmtId="49" fontId="8" fillId="0" borderId="8" xfId="0" applyNumberFormat="1" applyFont="1" applyBorder="1" applyAlignment="1">
      <alignment horizontal="center" vertical="center" wrapText="1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textRotation="90" wrapText="1"/>
    </xf>
    <xf numFmtId="0" fontId="16" fillId="4" borderId="12" xfId="0" applyFont="1" applyFill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/>
    </xf>
    <xf numFmtId="0" fontId="6" fillId="0" borderId="8" xfId="0" applyFont="1" applyBorder="1"/>
    <xf numFmtId="0" fontId="11" fillId="0" borderId="8" xfId="0" applyFont="1" applyBorder="1" applyAlignment="1">
      <alignment horizontal="center" vertical="center"/>
    </xf>
    <xf numFmtId="165" fontId="6" fillId="0" borderId="8" xfId="1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17" fillId="0" borderId="0" xfId="0" applyFont="1" applyAlignment="1">
      <alignment horizontal="left" inden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71563</xdr:colOff>
      <xdr:row>41</xdr:row>
      <xdr:rowOff>0</xdr:rowOff>
    </xdr:from>
    <xdr:to>
      <xdr:col>6</xdr:col>
      <xdr:colOff>1681025</xdr:colOff>
      <xdr:row>41</xdr:row>
      <xdr:rowOff>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 rot="16199999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571500</xdr:colOff>
      <xdr:row>41</xdr:row>
      <xdr:rowOff>89647</xdr:rowOff>
    </xdr:from>
    <xdr:to>
      <xdr:col>6</xdr:col>
      <xdr:colOff>1171163</xdr:colOff>
      <xdr:row>41</xdr:row>
      <xdr:rowOff>694764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481854</xdr:colOff>
      <xdr:row>42</xdr:row>
      <xdr:rowOff>45945</xdr:rowOff>
    </xdr:from>
    <xdr:to>
      <xdr:col>6</xdr:col>
      <xdr:colOff>1314720</xdr:colOff>
      <xdr:row>43</xdr:row>
      <xdr:rowOff>7288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2190750</xdr:colOff>
      <xdr:row>2</xdr:row>
      <xdr:rowOff>176893</xdr:rowOff>
    </xdr:from>
    <xdr:to>
      <xdr:col>4</xdr:col>
      <xdr:colOff>2707821</xdr:colOff>
      <xdr:row>2</xdr:row>
      <xdr:rowOff>4488370</xdr:rowOff>
    </xdr:to>
    <xdr:pic>
      <xdr:nvPicPr>
        <xdr:cNvPr id="117" name="Рисунок 116" descr="2-11_вид 2.jp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5961" t="3089" r="12757" b="2802"/>
        <a:stretch/>
      </xdr:blipFill>
      <xdr:spPr bwMode="auto">
        <a:xfrm>
          <a:off x="3796393" y="693964"/>
          <a:ext cx="3265714" cy="43114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408215</xdr:colOff>
      <xdr:row>2</xdr:row>
      <xdr:rowOff>258534</xdr:rowOff>
    </xdr:from>
    <xdr:to>
      <xdr:col>3</xdr:col>
      <xdr:colOff>1850571</xdr:colOff>
      <xdr:row>2</xdr:row>
      <xdr:rowOff>4434797</xdr:rowOff>
    </xdr:to>
    <xdr:pic>
      <xdr:nvPicPr>
        <xdr:cNvPr id="118" name="Рисунок 117" descr="2-11_вид 2.jp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19565" t="3804" r="14855" b="6340"/>
        <a:stretch/>
      </xdr:blipFill>
      <xdr:spPr bwMode="auto">
        <a:xfrm>
          <a:off x="408215" y="775605"/>
          <a:ext cx="3047999" cy="4176263"/>
        </a:xfrm>
        <a:prstGeom prst="rect">
          <a:avLst/>
        </a:prstGeom>
      </xdr:spPr>
    </xdr:pic>
    <xdr:clientData/>
  </xdr:twoCellAnchor>
  <xdr:twoCellAnchor editAs="oneCell">
    <xdr:from>
      <xdr:col>7</xdr:col>
      <xdr:colOff>1349579</xdr:colOff>
      <xdr:row>2</xdr:row>
      <xdr:rowOff>904257</xdr:rowOff>
    </xdr:from>
    <xdr:to>
      <xdr:col>11</xdr:col>
      <xdr:colOff>839558</xdr:colOff>
      <xdr:row>2</xdr:row>
      <xdr:rowOff>4047506</xdr:rowOff>
    </xdr:to>
    <xdr:pic>
      <xdr:nvPicPr>
        <xdr:cNvPr id="119" name="Рисунок 118" descr="2-11_вид 2.jp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6580" t="8499" r="4188" b="7296"/>
        <a:stretch/>
      </xdr:blipFill>
      <xdr:spPr bwMode="auto">
        <a:xfrm>
          <a:off x="11030443" y="1406484"/>
          <a:ext cx="3334615" cy="31432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1749</xdr:colOff>
      <xdr:row>8</xdr:row>
      <xdr:rowOff>628187</xdr:rowOff>
    </xdr:to>
    <xdr:pic>
      <xdr:nvPicPr>
        <xdr:cNvPr id="20" name="Picture 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373038" y="1476375"/>
          <a:ext cx="2614" cy="610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1749</xdr:colOff>
      <xdr:row>4</xdr:row>
      <xdr:rowOff>233951</xdr:rowOff>
    </xdr:to>
    <xdr:pic>
      <xdr:nvPicPr>
        <xdr:cNvPr id="32" name="Picture 9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1749</xdr:colOff>
      <xdr:row>5</xdr:row>
      <xdr:rowOff>233951</xdr:rowOff>
    </xdr:to>
    <xdr:pic>
      <xdr:nvPicPr>
        <xdr:cNvPr id="33" name="Picture 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1749</xdr:colOff>
      <xdr:row>6</xdr:row>
      <xdr:rowOff>233951</xdr:rowOff>
    </xdr:to>
    <xdr:pic>
      <xdr:nvPicPr>
        <xdr:cNvPr id="34" name="Picture 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449786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196109</xdr:colOff>
      <xdr:row>8</xdr:row>
      <xdr:rowOff>139670</xdr:rowOff>
    </xdr:from>
    <xdr:to>
      <xdr:col>6</xdr:col>
      <xdr:colOff>1572699</xdr:colOff>
      <xdr:row>8</xdr:row>
      <xdr:rowOff>539467</xdr:rowOff>
    </xdr:to>
    <xdr:pic>
      <xdr:nvPicPr>
        <xdr:cNvPr id="35" name="Picture 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tretch/>
      </xdr:blipFill>
      <xdr:spPr bwMode="auto">
        <a:xfrm>
          <a:off x="8093200" y="7499898"/>
          <a:ext cx="1376590" cy="3997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255914</xdr:colOff>
      <xdr:row>11</xdr:row>
      <xdr:rowOff>145676</xdr:rowOff>
    </xdr:from>
    <xdr:to>
      <xdr:col>6</xdr:col>
      <xdr:colOff>1469032</xdr:colOff>
      <xdr:row>11</xdr:row>
      <xdr:rowOff>513612</xdr:rowOff>
    </xdr:to>
    <xdr:pic>
      <xdr:nvPicPr>
        <xdr:cNvPr id="37" name="Picture 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tretch/>
      </xdr:blipFill>
      <xdr:spPr bwMode="auto">
        <a:xfrm>
          <a:off x="5180339" y="85632551"/>
          <a:ext cx="1213118" cy="3679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142593</xdr:colOff>
      <xdr:row>12</xdr:row>
      <xdr:rowOff>131977</xdr:rowOff>
    </xdr:from>
    <xdr:to>
      <xdr:col>6</xdr:col>
      <xdr:colOff>1623635</xdr:colOff>
      <xdr:row>12</xdr:row>
      <xdr:rowOff>431968</xdr:rowOff>
    </xdr:to>
    <xdr:pic>
      <xdr:nvPicPr>
        <xdr:cNvPr id="39" name="Picture 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tretch/>
      </xdr:blipFill>
      <xdr:spPr bwMode="auto">
        <a:xfrm>
          <a:off x="5067018" y="86295127"/>
          <a:ext cx="1481042" cy="2999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349063</xdr:colOff>
      <xdr:row>14</xdr:row>
      <xdr:rowOff>76037</xdr:rowOff>
    </xdr:from>
    <xdr:to>
      <xdr:col>6</xdr:col>
      <xdr:colOff>1455964</xdr:colOff>
      <xdr:row>14</xdr:row>
      <xdr:rowOff>1251588</xdr:rowOff>
    </xdr:to>
    <xdr:pic>
      <xdr:nvPicPr>
        <xdr:cNvPr id="40" name="Picture 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tretch/>
      </xdr:blipFill>
      <xdr:spPr bwMode="auto">
        <a:xfrm>
          <a:off x="5478956" y="10988966"/>
          <a:ext cx="1106902" cy="11755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408214</xdr:colOff>
      <xdr:row>17</xdr:row>
      <xdr:rowOff>83570</xdr:rowOff>
    </xdr:from>
    <xdr:to>
      <xdr:col>6</xdr:col>
      <xdr:colOff>1496786</xdr:colOff>
      <xdr:row>17</xdr:row>
      <xdr:rowOff>1175472</xdr:rowOff>
    </xdr:to>
    <xdr:pic>
      <xdr:nvPicPr>
        <xdr:cNvPr id="41" name="Picture 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tretch/>
      </xdr:blipFill>
      <xdr:spPr bwMode="auto">
        <a:xfrm>
          <a:off x="5538107" y="12221142"/>
          <a:ext cx="1088572" cy="10919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338623</xdr:colOff>
      <xdr:row>18</xdr:row>
      <xdr:rowOff>123036</xdr:rowOff>
    </xdr:from>
    <xdr:to>
      <xdr:col>6</xdr:col>
      <xdr:colOff>1469571</xdr:colOff>
      <xdr:row>18</xdr:row>
      <xdr:rowOff>668040</xdr:rowOff>
    </xdr:to>
    <xdr:pic>
      <xdr:nvPicPr>
        <xdr:cNvPr id="42" name="Picture 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tretch/>
      </xdr:blipFill>
      <xdr:spPr bwMode="auto">
        <a:xfrm>
          <a:off x="5468516" y="13376393"/>
          <a:ext cx="1130948" cy="5450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620474</xdr:colOff>
      <xdr:row>22</xdr:row>
      <xdr:rowOff>96143</xdr:rowOff>
    </xdr:from>
    <xdr:to>
      <xdr:col>6</xdr:col>
      <xdr:colOff>1211036</xdr:colOff>
      <xdr:row>22</xdr:row>
      <xdr:rowOff>651838</xdr:rowOff>
    </xdr:to>
    <xdr:pic>
      <xdr:nvPicPr>
        <xdr:cNvPr id="43" name="Picture 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tretch/>
      </xdr:blipFill>
      <xdr:spPr bwMode="auto">
        <a:xfrm>
          <a:off x="5544899" y="90755093"/>
          <a:ext cx="590562" cy="5556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621466</xdr:colOff>
      <xdr:row>23</xdr:row>
      <xdr:rowOff>113752</xdr:rowOff>
    </xdr:from>
    <xdr:to>
      <xdr:col>6</xdr:col>
      <xdr:colOff>1197428</xdr:colOff>
      <xdr:row>23</xdr:row>
      <xdr:rowOff>853287</xdr:rowOff>
    </xdr:to>
    <xdr:pic>
      <xdr:nvPicPr>
        <xdr:cNvPr id="44" name="Picture 9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tretch/>
      </xdr:blipFill>
      <xdr:spPr bwMode="auto">
        <a:xfrm>
          <a:off x="5751360" y="14931931"/>
          <a:ext cx="575961" cy="7395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571520</xdr:colOff>
      <xdr:row>27</xdr:row>
      <xdr:rowOff>121164</xdr:rowOff>
    </xdr:from>
    <xdr:to>
      <xdr:col>6</xdr:col>
      <xdr:colOff>1238250</xdr:colOff>
      <xdr:row>27</xdr:row>
      <xdr:rowOff>828412</xdr:rowOff>
    </xdr:to>
    <xdr:pic>
      <xdr:nvPicPr>
        <xdr:cNvPr id="45" name="Picture 9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tretch/>
      </xdr:blipFill>
      <xdr:spPr bwMode="auto">
        <a:xfrm>
          <a:off x="5701413" y="15864628"/>
          <a:ext cx="666730" cy="7072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136072</xdr:colOff>
      <xdr:row>13</xdr:row>
      <xdr:rowOff>163284</xdr:rowOff>
    </xdr:from>
    <xdr:to>
      <xdr:col>6</xdr:col>
      <xdr:colOff>1617113</xdr:colOff>
      <xdr:row>13</xdr:row>
      <xdr:rowOff>550365</xdr:rowOff>
    </xdr:to>
    <xdr:pic>
      <xdr:nvPicPr>
        <xdr:cNvPr id="46" name="Picture 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tretch/>
      </xdr:blipFill>
      <xdr:spPr bwMode="auto">
        <a:xfrm>
          <a:off x="5060497" y="86936034"/>
          <a:ext cx="1481042" cy="3870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1749</xdr:colOff>
      <xdr:row>8</xdr:row>
      <xdr:rowOff>624475</xdr:rowOff>
    </xdr:to>
    <xdr:pic>
      <xdr:nvPicPr>
        <xdr:cNvPr id="47" name="Picture 9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7184571"/>
          <a:ext cx="6696" cy="624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68605</xdr:colOff>
      <xdr:row>2</xdr:row>
      <xdr:rowOff>393370</xdr:rowOff>
    </xdr:from>
    <xdr:to>
      <xdr:col>7</xdr:col>
      <xdr:colOff>762000</xdr:colOff>
      <xdr:row>2</xdr:row>
      <xdr:rowOff>4012289</xdr:rowOff>
    </xdr:to>
    <xdr:pic>
      <xdr:nvPicPr>
        <xdr:cNvPr id="49" name="Рисунок 48" descr="2-11_вид 2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/>
      </xdr:blipFill>
      <xdr:spPr bwMode="auto">
        <a:xfrm>
          <a:off x="7186378" y="895597"/>
          <a:ext cx="3256486" cy="3618919"/>
        </a:xfrm>
        <a:prstGeom prst="rect">
          <a:avLst/>
        </a:prstGeom>
      </xdr:spPr>
    </xdr:pic>
    <xdr:clientData/>
  </xdr:twoCellAnchor>
  <xdr:twoCellAnchor>
    <xdr:from>
      <xdr:col>6</xdr:col>
      <xdr:colOff>256890</xdr:colOff>
      <xdr:row>38</xdr:row>
      <xdr:rowOff>114701</xdr:rowOff>
    </xdr:from>
    <xdr:to>
      <xdr:col>6</xdr:col>
      <xdr:colOff>1502124</xdr:colOff>
      <xdr:row>38</xdr:row>
      <xdr:rowOff>661147</xdr:rowOff>
    </xdr:to>
    <xdr:pic>
      <xdr:nvPicPr>
        <xdr:cNvPr id="51" name="Picture 8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tretch/>
      </xdr:blipFill>
      <xdr:spPr bwMode="auto">
        <a:xfrm>
          <a:off x="5533740" y="9353951"/>
          <a:ext cx="1245234" cy="5464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504266</xdr:colOff>
      <xdr:row>43</xdr:row>
      <xdr:rowOff>79561</xdr:rowOff>
    </xdr:from>
    <xdr:to>
      <xdr:col>6</xdr:col>
      <xdr:colOff>1332940</xdr:colOff>
      <xdr:row>43</xdr:row>
      <xdr:rowOff>774886</xdr:rowOff>
    </xdr:to>
    <xdr:pic>
      <xdr:nvPicPr>
        <xdr:cNvPr id="53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grayscl/>
        </a:blip>
        <a:srcRect t="8989" b="8989"/>
        <a:stretch/>
      </xdr:blipFill>
      <xdr:spPr bwMode="auto">
        <a:xfrm>
          <a:off x="5634159" y="21578847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481854</xdr:colOff>
      <xdr:row>42</xdr:row>
      <xdr:rowOff>45945</xdr:rowOff>
    </xdr:from>
    <xdr:to>
      <xdr:col>6</xdr:col>
      <xdr:colOff>1314720</xdr:colOff>
      <xdr:row>43</xdr:row>
      <xdr:rowOff>7286</xdr:rowOff>
    </xdr:to>
    <xdr:pic>
      <xdr:nvPicPr>
        <xdr:cNvPr id="54" name="Picture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368179" y="75645870"/>
          <a:ext cx="832866" cy="8090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1749</xdr:colOff>
      <xdr:row>5</xdr:row>
      <xdr:rowOff>233951</xdr:rowOff>
    </xdr:to>
    <xdr:pic>
      <xdr:nvPicPr>
        <xdr:cNvPr id="29" name="Picture 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1749</xdr:colOff>
      <xdr:row>6</xdr:row>
      <xdr:rowOff>233951</xdr:rowOff>
    </xdr:to>
    <xdr:pic>
      <xdr:nvPicPr>
        <xdr:cNvPr id="30" name="Picture 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1749</xdr:colOff>
      <xdr:row>8</xdr:row>
      <xdr:rowOff>237662</xdr:rowOff>
    </xdr:to>
    <xdr:pic>
      <xdr:nvPicPr>
        <xdr:cNvPr id="31" name="Picture 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1749</xdr:colOff>
      <xdr:row>8</xdr:row>
      <xdr:rowOff>209087</xdr:rowOff>
    </xdr:to>
    <xdr:pic>
      <xdr:nvPicPr>
        <xdr:cNvPr id="50" name="Picture 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1749</xdr:colOff>
      <xdr:row>8</xdr:row>
      <xdr:rowOff>233951</xdr:rowOff>
    </xdr:to>
    <xdr:pic>
      <xdr:nvPicPr>
        <xdr:cNvPr id="52" name="Picture 9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1749</xdr:colOff>
      <xdr:row>11</xdr:row>
      <xdr:rowOff>233951</xdr:rowOff>
    </xdr:to>
    <xdr:pic>
      <xdr:nvPicPr>
        <xdr:cNvPr id="55" name="Picture 9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1749</xdr:colOff>
      <xdr:row>12</xdr:row>
      <xdr:rowOff>233951</xdr:rowOff>
    </xdr:to>
    <xdr:pic>
      <xdr:nvPicPr>
        <xdr:cNvPr id="56" name="Picture 9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1749</xdr:colOff>
      <xdr:row>13</xdr:row>
      <xdr:rowOff>233951</xdr:rowOff>
    </xdr:to>
    <xdr:pic>
      <xdr:nvPicPr>
        <xdr:cNvPr id="57" name="Picture 9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1749</xdr:colOff>
      <xdr:row>14</xdr:row>
      <xdr:rowOff>233951</xdr:rowOff>
    </xdr:to>
    <xdr:pic>
      <xdr:nvPicPr>
        <xdr:cNvPr id="58" name="Picture 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1749</xdr:colOff>
      <xdr:row>17</xdr:row>
      <xdr:rowOff>233951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1749</xdr:colOff>
      <xdr:row>18</xdr:row>
      <xdr:rowOff>233951</xdr:rowOff>
    </xdr:to>
    <xdr:pic>
      <xdr:nvPicPr>
        <xdr:cNvPr id="60" name="Picture 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1749</xdr:colOff>
      <xdr:row>22</xdr:row>
      <xdr:rowOff>233951</xdr:rowOff>
    </xdr:to>
    <xdr:pic>
      <xdr:nvPicPr>
        <xdr:cNvPr id="61" name="Picture 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1749</xdr:colOff>
      <xdr:row>23</xdr:row>
      <xdr:rowOff>233951</xdr:rowOff>
    </xdr:to>
    <xdr:pic>
      <xdr:nvPicPr>
        <xdr:cNvPr id="62" name="Picture 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1749</xdr:colOff>
      <xdr:row>27</xdr:row>
      <xdr:rowOff>233951</xdr:rowOff>
    </xdr:to>
    <xdr:pic>
      <xdr:nvPicPr>
        <xdr:cNvPr id="63" name="Picture 9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1749</xdr:colOff>
      <xdr:row>31</xdr:row>
      <xdr:rowOff>233951</xdr:rowOff>
    </xdr:to>
    <xdr:pic>
      <xdr:nvPicPr>
        <xdr:cNvPr id="64" name="Picture 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1749</xdr:colOff>
      <xdr:row>38</xdr:row>
      <xdr:rowOff>233951</xdr:rowOff>
    </xdr:to>
    <xdr:pic>
      <xdr:nvPicPr>
        <xdr:cNvPr id="65" name="Picture 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1749</xdr:colOff>
      <xdr:row>38</xdr:row>
      <xdr:rowOff>233951</xdr:rowOff>
    </xdr:to>
    <xdr:pic>
      <xdr:nvPicPr>
        <xdr:cNvPr id="66" name="Picture 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1749</xdr:colOff>
      <xdr:row>38</xdr:row>
      <xdr:rowOff>233951</xdr:rowOff>
    </xdr:to>
    <xdr:pic>
      <xdr:nvPicPr>
        <xdr:cNvPr id="67" name="Picture 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1749</xdr:colOff>
      <xdr:row>41</xdr:row>
      <xdr:rowOff>233951</xdr:rowOff>
    </xdr:to>
    <xdr:pic>
      <xdr:nvPicPr>
        <xdr:cNvPr id="68" name="Picture 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1749</xdr:colOff>
      <xdr:row>41</xdr:row>
      <xdr:rowOff>233951</xdr:rowOff>
    </xdr:to>
    <xdr:pic>
      <xdr:nvPicPr>
        <xdr:cNvPr id="69" name="Picture 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1749</xdr:colOff>
      <xdr:row>42</xdr:row>
      <xdr:rowOff>233951</xdr:rowOff>
    </xdr:to>
    <xdr:pic>
      <xdr:nvPicPr>
        <xdr:cNvPr id="70" name="Picture 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1749</xdr:colOff>
      <xdr:row>43</xdr:row>
      <xdr:rowOff>233951</xdr:rowOff>
    </xdr:to>
    <xdr:pic>
      <xdr:nvPicPr>
        <xdr:cNvPr id="71" name="Picture 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494017" y="6313714"/>
          <a:ext cx="6696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513052</xdr:colOff>
      <xdr:row>31</xdr:row>
      <xdr:rowOff>53324</xdr:rowOff>
    </xdr:from>
    <xdr:to>
      <xdr:col>6</xdr:col>
      <xdr:colOff>1112782</xdr:colOff>
      <xdr:row>31</xdr:row>
      <xdr:rowOff>1173479</xdr:rowOff>
    </xdr:to>
    <xdr:pic>
      <xdr:nvPicPr>
        <xdr:cNvPr id="75" name="Picture 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tretch/>
      </xdr:blipFill>
      <xdr:spPr bwMode="auto">
        <a:xfrm>
          <a:off x="7856827" y="38639099"/>
          <a:ext cx="599730" cy="1120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398318</xdr:colOff>
      <xdr:row>34</xdr:row>
      <xdr:rowOff>86591</xdr:rowOff>
    </xdr:from>
    <xdr:to>
      <xdr:col>6</xdr:col>
      <xdr:colOff>1209058</xdr:colOff>
      <xdr:row>34</xdr:row>
      <xdr:rowOff>1160318</xdr:rowOff>
    </xdr:to>
    <xdr:pic>
      <xdr:nvPicPr>
        <xdr:cNvPr id="76" name="Picture 9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tretch/>
      </xdr:blipFill>
      <xdr:spPr bwMode="auto">
        <a:xfrm>
          <a:off x="7627793" y="24022916"/>
          <a:ext cx="810740" cy="10737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topLeftCell="B1" zoomScale="55" workbookViewId="0">
      <selection activeCell="D49" sqref="D49"/>
    </sheetView>
  </sheetViews>
  <sheetFormatPr defaultRowHeight="15" x14ac:dyDescent="0.25"/>
  <cols>
    <col min="1" max="1" width="6.28515625" hidden="1" customWidth="1"/>
    <col min="2" max="2" width="7.7109375" style="1" customWidth="1"/>
    <col min="3" max="3" width="16.28515625" customWidth="1"/>
    <col min="4" max="5" width="41.28515625" style="2" customWidth="1"/>
    <col min="6" max="6" width="11.7109375" style="3" customWidth="1"/>
    <col min="7" max="7" width="26.7109375" customWidth="1"/>
    <col min="8" max="8" width="24.140625" customWidth="1"/>
    <col min="9" max="9" width="10.140625" customWidth="1"/>
    <col min="10" max="11" width="11.7109375" customWidth="1"/>
    <col min="12" max="12" width="15.140625" style="4" customWidth="1"/>
  </cols>
  <sheetData>
    <row r="1" spans="1:12" ht="21" x14ac:dyDescent="0.25">
      <c r="A1" s="48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18.75" customHeight="1" x14ac:dyDescent="0.25">
      <c r="A2" s="5"/>
      <c r="B2" s="50" t="s">
        <v>1</v>
      </c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372" customHeight="1" x14ac:dyDescent="0.25">
      <c r="A3" s="6"/>
      <c r="B3" s="51"/>
      <c r="C3" s="52"/>
      <c r="D3" s="52"/>
      <c r="E3" s="52"/>
      <c r="F3" s="52"/>
      <c r="G3" s="52"/>
      <c r="H3" s="52"/>
      <c r="I3" s="52"/>
      <c r="J3" s="52"/>
      <c r="K3" s="52"/>
      <c r="L3" s="53"/>
    </row>
    <row r="4" spans="1:12" ht="69" customHeight="1" x14ac:dyDescent="0.25">
      <c r="A4" s="7"/>
      <c r="B4" s="8" t="s">
        <v>2</v>
      </c>
      <c r="C4" s="8" t="s">
        <v>3</v>
      </c>
      <c r="D4" s="9" t="s">
        <v>4</v>
      </c>
      <c r="E4" s="9"/>
      <c r="F4" s="8" t="s">
        <v>5</v>
      </c>
      <c r="G4" s="8" t="s">
        <v>6</v>
      </c>
      <c r="H4" s="8" t="s">
        <v>7</v>
      </c>
      <c r="I4" s="10" t="s">
        <v>8</v>
      </c>
      <c r="J4" s="10" t="s">
        <v>9</v>
      </c>
      <c r="K4" s="10" t="s">
        <v>10</v>
      </c>
      <c r="L4" s="11" t="s">
        <v>11</v>
      </c>
    </row>
    <row r="5" spans="1:12" s="12" customFormat="1" ht="18.75" customHeight="1" x14ac:dyDescent="0.2">
      <c r="A5" s="13"/>
      <c r="B5" s="14">
        <v>1</v>
      </c>
      <c r="C5" s="15" t="s">
        <v>12</v>
      </c>
      <c r="D5" s="14" t="s">
        <v>13</v>
      </c>
      <c r="E5" s="14" t="s">
        <v>14</v>
      </c>
      <c r="F5" s="14">
        <v>4</v>
      </c>
      <c r="G5" s="10"/>
      <c r="H5" s="16" t="s">
        <v>15</v>
      </c>
      <c r="I5" s="10">
        <v>180</v>
      </c>
      <c r="J5" s="10">
        <v>10</v>
      </c>
      <c r="K5" s="10">
        <v>10</v>
      </c>
      <c r="L5" s="17">
        <f t="shared" ref="L5:L38" si="0">I5*J5*K5</f>
        <v>18000</v>
      </c>
    </row>
    <row r="6" spans="1:12" s="12" customFormat="1" ht="18.75" customHeight="1" x14ac:dyDescent="0.25">
      <c r="A6" s="18"/>
      <c r="B6" s="14">
        <v>2</v>
      </c>
      <c r="C6" s="19" t="s">
        <v>16</v>
      </c>
      <c r="D6" s="14" t="s">
        <v>17</v>
      </c>
      <c r="E6" s="14" t="s">
        <v>14</v>
      </c>
      <c r="F6" s="14">
        <v>1</v>
      </c>
      <c r="G6" s="10"/>
      <c r="H6" s="16" t="s">
        <v>15</v>
      </c>
      <c r="I6" s="10">
        <v>270</v>
      </c>
      <c r="J6" s="10">
        <v>10</v>
      </c>
      <c r="K6" s="10">
        <v>10</v>
      </c>
      <c r="L6" s="17">
        <f t="shared" si="0"/>
        <v>27000</v>
      </c>
    </row>
    <row r="7" spans="1:12" s="12" customFormat="1" ht="18.75" customHeight="1" x14ac:dyDescent="0.25">
      <c r="A7" s="18"/>
      <c r="B7" s="14">
        <v>3</v>
      </c>
      <c r="C7" s="15" t="s">
        <v>18</v>
      </c>
      <c r="D7" s="14" t="s">
        <v>19</v>
      </c>
      <c r="E7" s="14" t="s">
        <v>14</v>
      </c>
      <c r="F7" s="14">
        <v>1</v>
      </c>
      <c r="G7" s="10"/>
      <c r="H7" s="16" t="s">
        <v>15</v>
      </c>
      <c r="I7" s="10">
        <v>300</v>
      </c>
      <c r="J7" s="10">
        <v>10</v>
      </c>
      <c r="K7" s="10">
        <v>10</v>
      </c>
      <c r="L7" s="17">
        <f t="shared" si="0"/>
        <v>30000</v>
      </c>
    </row>
    <row r="8" spans="1:12" s="20" customFormat="1" ht="40.5" customHeight="1" x14ac:dyDescent="0.25">
      <c r="A8" s="21"/>
      <c r="B8" s="22">
        <v>4</v>
      </c>
      <c r="C8" s="15" t="s">
        <v>20</v>
      </c>
      <c r="D8" s="22" t="s">
        <v>21</v>
      </c>
      <c r="E8" s="22" t="s">
        <v>22</v>
      </c>
      <c r="F8" s="22">
        <v>6</v>
      </c>
      <c r="G8" s="23"/>
      <c r="H8" s="24" t="s">
        <v>23</v>
      </c>
      <c r="I8" s="23">
        <v>10</v>
      </c>
      <c r="J8" s="23">
        <v>8</v>
      </c>
      <c r="K8" s="23">
        <v>60</v>
      </c>
      <c r="L8" s="10">
        <f t="shared" si="0"/>
        <v>4800</v>
      </c>
    </row>
    <row r="9" spans="1:12" s="12" customFormat="1" ht="53.25" customHeight="1" x14ac:dyDescent="0.2">
      <c r="A9" s="25"/>
      <c r="B9" s="14">
        <v>5</v>
      </c>
      <c r="C9" s="26" t="s">
        <v>24</v>
      </c>
      <c r="D9" s="27" t="s">
        <v>25</v>
      </c>
      <c r="E9" s="22" t="s">
        <v>22</v>
      </c>
      <c r="F9" s="14">
        <v>2</v>
      </c>
      <c r="G9" s="10"/>
      <c r="H9" s="28" t="s">
        <v>26</v>
      </c>
      <c r="I9" s="10">
        <v>115</v>
      </c>
      <c r="J9" s="10">
        <v>30</v>
      </c>
      <c r="K9" s="10">
        <v>2.1</v>
      </c>
      <c r="L9" s="17">
        <f t="shared" si="0"/>
        <v>7245</v>
      </c>
    </row>
    <row r="10" spans="1:12" s="20" customFormat="1" ht="30" customHeight="1" x14ac:dyDescent="0.25">
      <c r="A10" s="29"/>
      <c r="B10" s="10"/>
      <c r="C10" s="30" t="s">
        <v>27</v>
      </c>
      <c r="D10" s="30" t="s">
        <v>28</v>
      </c>
      <c r="E10" s="31" t="s">
        <v>14</v>
      </c>
      <c r="F10" s="30">
        <v>8</v>
      </c>
      <c r="G10" s="8"/>
      <c r="H10" s="23"/>
      <c r="I10" s="8"/>
      <c r="J10" s="8"/>
      <c r="K10" s="10"/>
      <c r="L10" s="23">
        <f t="shared" ref="L10:L11" si="1">I10*J10*K10</f>
        <v>0</v>
      </c>
    </row>
    <row r="11" spans="1:12" s="20" customFormat="1" ht="28.5" customHeight="1" x14ac:dyDescent="0.25">
      <c r="A11" s="29"/>
      <c r="B11" s="10"/>
      <c r="C11" s="30" t="s">
        <v>29</v>
      </c>
      <c r="D11" s="30" t="s">
        <v>30</v>
      </c>
      <c r="E11" s="31" t="s">
        <v>14</v>
      </c>
      <c r="F11" s="30">
        <v>8</v>
      </c>
      <c r="G11" s="8"/>
      <c r="H11" s="23"/>
      <c r="I11" s="8"/>
      <c r="J11" s="8"/>
      <c r="K11" s="10"/>
      <c r="L11" s="23">
        <f t="shared" si="1"/>
        <v>0</v>
      </c>
    </row>
    <row r="12" spans="1:12" s="12" customFormat="1" ht="53.25" customHeight="1" x14ac:dyDescent="0.2">
      <c r="A12" s="25"/>
      <c r="B12" s="14">
        <v>6</v>
      </c>
      <c r="C12" s="26" t="s">
        <v>31</v>
      </c>
      <c r="D12" s="27" t="s">
        <v>32</v>
      </c>
      <c r="E12" s="22" t="s">
        <v>22</v>
      </c>
      <c r="F12" s="14">
        <v>4</v>
      </c>
      <c r="G12" s="10"/>
      <c r="H12" s="28" t="s">
        <v>26</v>
      </c>
      <c r="I12" s="10">
        <v>111</v>
      </c>
      <c r="J12" s="10">
        <v>30</v>
      </c>
      <c r="K12" s="10">
        <v>2.1</v>
      </c>
      <c r="L12" s="17">
        <f t="shared" si="0"/>
        <v>6993</v>
      </c>
    </row>
    <row r="13" spans="1:12" s="12" customFormat="1" ht="48" customHeight="1" x14ac:dyDescent="0.2">
      <c r="A13" s="25"/>
      <c r="B13" s="14">
        <v>7</v>
      </c>
      <c r="C13" s="26" t="s">
        <v>33</v>
      </c>
      <c r="D13" s="27" t="s">
        <v>34</v>
      </c>
      <c r="E13" s="22" t="s">
        <v>22</v>
      </c>
      <c r="F13" s="14">
        <v>2</v>
      </c>
      <c r="G13" s="10"/>
      <c r="H13" s="32" t="s">
        <v>35</v>
      </c>
      <c r="I13" s="10">
        <v>136</v>
      </c>
      <c r="J13" s="10">
        <v>22</v>
      </c>
      <c r="K13" s="10">
        <v>2.1</v>
      </c>
      <c r="L13" s="17">
        <f t="shared" si="0"/>
        <v>6283.2</v>
      </c>
    </row>
    <row r="14" spans="1:12" s="12" customFormat="1" ht="57.75" customHeight="1" x14ac:dyDescent="0.2">
      <c r="A14" s="25"/>
      <c r="B14" s="14">
        <v>8</v>
      </c>
      <c r="C14" s="26" t="s">
        <v>36</v>
      </c>
      <c r="D14" s="27" t="s">
        <v>37</v>
      </c>
      <c r="E14" s="22" t="s">
        <v>22</v>
      </c>
      <c r="F14" s="14">
        <v>4</v>
      </c>
      <c r="G14" s="10"/>
      <c r="H14" s="32" t="s">
        <v>35</v>
      </c>
      <c r="I14" s="10">
        <v>99.5</v>
      </c>
      <c r="J14" s="10">
        <v>22</v>
      </c>
      <c r="K14" s="10">
        <v>2.1</v>
      </c>
      <c r="L14" s="17">
        <f t="shared" si="0"/>
        <v>4596.9000000000005</v>
      </c>
    </row>
    <row r="15" spans="1:12" s="12" customFormat="1" ht="104.25" customHeight="1" x14ac:dyDescent="0.2">
      <c r="A15" s="25"/>
      <c r="B15" s="14">
        <v>9</v>
      </c>
      <c r="C15" s="26" t="s">
        <v>38</v>
      </c>
      <c r="D15" s="27" t="s">
        <v>39</v>
      </c>
      <c r="E15" s="22" t="s">
        <v>22</v>
      </c>
      <c r="F15" s="14">
        <v>4</v>
      </c>
      <c r="G15" s="10"/>
      <c r="H15" s="32" t="s">
        <v>35</v>
      </c>
      <c r="I15" s="10">
        <v>95</v>
      </c>
      <c r="J15" s="10">
        <v>100</v>
      </c>
      <c r="K15" s="10">
        <v>2.1</v>
      </c>
      <c r="L15" s="17">
        <f t="shared" si="0"/>
        <v>19950</v>
      </c>
    </row>
    <row r="16" spans="1:12" s="20" customFormat="1" ht="31.5" customHeight="1" x14ac:dyDescent="0.25">
      <c r="A16" s="29"/>
      <c r="B16" s="31"/>
      <c r="C16" s="30" t="s">
        <v>27</v>
      </c>
      <c r="D16" s="30" t="s">
        <v>28</v>
      </c>
      <c r="E16" s="31" t="s">
        <v>14</v>
      </c>
      <c r="F16" s="30">
        <v>8</v>
      </c>
      <c r="G16" s="8"/>
      <c r="H16" s="23"/>
      <c r="I16" s="8"/>
      <c r="J16" s="8"/>
      <c r="K16" s="10"/>
      <c r="L16" s="23">
        <f t="shared" si="0"/>
        <v>0</v>
      </c>
    </row>
    <row r="17" spans="1:12" s="20" customFormat="1" ht="24" customHeight="1" x14ac:dyDescent="0.25">
      <c r="A17" s="29"/>
      <c r="B17" s="31"/>
      <c r="C17" s="30" t="s">
        <v>29</v>
      </c>
      <c r="D17" s="30" t="s">
        <v>30</v>
      </c>
      <c r="E17" s="31" t="s">
        <v>14</v>
      </c>
      <c r="F17" s="30">
        <v>8</v>
      </c>
      <c r="G17" s="8"/>
      <c r="H17" s="23"/>
      <c r="I17" s="8"/>
      <c r="J17" s="8"/>
      <c r="K17" s="10"/>
      <c r="L17" s="23">
        <f t="shared" si="0"/>
        <v>0</v>
      </c>
    </row>
    <row r="18" spans="1:12" s="12" customFormat="1" ht="99.75" customHeight="1" x14ac:dyDescent="0.2">
      <c r="A18" s="25"/>
      <c r="B18" s="14">
        <v>10</v>
      </c>
      <c r="C18" s="26" t="s">
        <v>40</v>
      </c>
      <c r="D18" s="27" t="s">
        <v>41</v>
      </c>
      <c r="E18" s="22" t="s">
        <v>22</v>
      </c>
      <c r="F18" s="14">
        <v>2</v>
      </c>
      <c r="G18" s="10"/>
      <c r="H18" s="28" t="s">
        <v>26</v>
      </c>
      <c r="I18" s="10">
        <v>120</v>
      </c>
      <c r="J18" s="10">
        <v>118</v>
      </c>
      <c r="K18" s="10">
        <v>1.5</v>
      </c>
      <c r="L18" s="17">
        <f t="shared" si="0"/>
        <v>21240</v>
      </c>
    </row>
    <row r="19" spans="1:12" s="12" customFormat="1" ht="63.75" customHeight="1" x14ac:dyDescent="0.2">
      <c r="A19" s="25"/>
      <c r="B19" s="14">
        <v>11</v>
      </c>
      <c r="C19" s="26" t="s">
        <v>42</v>
      </c>
      <c r="D19" s="27" t="s">
        <v>43</v>
      </c>
      <c r="E19" s="22" t="s">
        <v>22</v>
      </c>
      <c r="F19" s="14">
        <v>2</v>
      </c>
      <c r="G19" s="10"/>
      <c r="H19" s="24" t="s">
        <v>23</v>
      </c>
      <c r="I19" s="10">
        <v>51.2</v>
      </c>
      <c r="J19" s="10">
        <v>23.6</v>
      </c>
      <c r="K19" s="10">
        <v>1.5</v>
      </c>
      <c r="L19" s="17">
        <f t="shared" si="0"/>
        <v>1812.4800000000002</v>
      </c>
    </row>
    <row r="20" spans="1:12" s="20" customFormat="1" ht="35.25" customHeight="1" x14ac:dyDescent="0.25">
      <c r="A20" s="29"/>
      <c r="B20" s="31"/>
      <c r="C20" s="30" t="s">
        <v>44</v>
      </c>
      <c r="D20" s="30" t="s">
        <v>45</v>
      </c>
      <c r="E20" s="31" t="s">
        <v>14</v>
      </c>
      <c r="F20" s="30">
        <v>6</v>
      </c>
      <c r="G20" s="23"/>
      <c r="H20" s="23"/>
      <c r="I20" s="23"/>
      <c r="J20" s="23"/>
      <c r="K20" s="23"/>
      <c r="L20" s="10">
        <f t="shared" si="0"/>
        <v>0</v>
      </c>
    </row>
    <row r="21" spans="1:12" s="20" customFormat="1" ht="27" customHeight="1" x14ac:dyDescent="0.25">
      <c r="A21" s="29"/>
      <c r="B21" s="31"/>
      <c r="C21" s="30" t="s">
        <v>29</v>
      </c>
      <c r="D21" s="30" t="s">
        <v>30</v>
      </c>
      <c r="E21" s="31" t="s">
        <v>14</v>
      </c>
      <c r="F21" s="30">
        <v>6</v>
      </c>
      <c r="G21" s="8"/>
      <c r="H21" s="23"/>
      <c r="I21" s="8"/>
      <c r="J21" s="8"/>
      <c r="K21" s="10"/>
      <c r="L21" s="10">
        <f t="shared" si="0"/>
        <v>0</v>
      </c>
    </row>
    <row r="22" spans="1:12" s="20" customFormat="1" ht="24.75" customHeight="1" x14ac:dyDescent="0.25">
      <c r="A22" s="29"/>
      <c r="B22" s="31"/>
      <c r="C22" s="30" t="s">
        <v>46</v>
      </c>
      <c r="D22" s="30" t="s">
        <v>47</v>
      </c>
      <c r="E22" s="31" t="s">
        <v>14</v>
      </c>
      <c r="F22" s="30">
        <v>6</v>
      </c>
      <c r="G22" s="23"/>
      <c r="H22" s="23"/>
      <c r="I22" s="23"/>
      <c r="J22" s="23"/>
      <c r="K22" s="23"/>
      <c r="L22" s="10">
        <f t="shared" si="0"/>
        <v>0</v>
      </c>
    </row>
    <row r="23" spans="1:12" s="12" customFormat="1" ht="58.5" customHeight="1" x14ac:dyDescent="0.2">
      <c r="A23" s="33"/>
      <c r="B23" s="14">
        <v>12</v>
      </c>
      <c r="C23" s="26" t="s">
        <v>48</v>
      </c>
      <c r="D23" s="27" t="s">
        <v>49</v>
      </c>
      <c r="E23" s="22" t="s">
        <v>22</v>
      </c>
      <c r="F23" s="14">
        <v>4</v>
      </c>
      <c r="G23" s="10"/>
      <c r="H23" s="24" t="s">
        <v>23</v>
      </c>
      <c r="I23" s="10">
        <v>30</v>
      </c>
      <c r="J23" s="10">
        <v>28.1</v>
      </c>
      <c r="K23" s="10">
        <v>1.5</v>
      </c>
      <c r="L23" s="17">
        <f t="shared" si="0"/>
        <v>1264.5</v>
      </c>
    </row>
    <row r="24" spans="1:12" s="12" customFormat="1" ht="72.75" customHeight="1" x14ac:dyDescent="0.2">
      <c r="A24" s="33"/>
      <c r="B24" s="14">
        <v>13</v>
      </c>
      <c r="C24" s="26" t="s">
        <v>50</v>
      </c>
      <c r="D24" s="27" t="s">
        <v>51</v>
      </c>
      <c r="E24" s="22" t="s">
        <v>22</v>
      </c>
      <c r="F24" s="14">
        <v>2</v>
      </c>
      <c r="G24" s="10"/>
      <c r="H24" s="24" t="s">
        <v>23</v>
      </c>
      <c r="I24" s="10">
        <v>36.700000000000003</v>
      </c>
      <c r="J24" s="10">
        <v>25.6</v>
      </c>
      <c r="K24" s="10">
        <v>1.5</v>
      </c>
      <c r="L24" s="17">
        <f t="shared" si="0"/>
        <v>1409.2800000000002</v>
      </c>
    </row>
    <row r="25" spans="1:12" s="20" customFormat="1" ht="33" customHeight="1" x14ac:dyDescent="0.25">
      <c r="A25" s="29"/>
      <c r="B25" s="31"/>
      <c r="C25" s="30" t="s">
        <v>44</v>
      </c>
      <c r="D25" s="30" t="s">
        <v>45</v>
      </c>
      <c r="E25" s="31" t="s">
        <v>14</v>
      </c>
      <c r="F25" s="30">
        <v>20</v>
      </c>
      <c r="G25" s="23"/>
      <c r="H25" s="23"/>
      <c r="I25" s="23"/>
      <c r="J25" s="23"/>
      <c r="K25" s="23"/>
      <c r="L25" s="10">
        <f t="shared" ref="L25:L27" si="2">I25*J25*K25</f>
        <v>0</v>
      </c>
    </row>
    <row r="26" spans="1:12" s="20" customFormat="1" ht="28.5" customHeight="1" x14ac:dyDescent="0.25">
      <c r="A26" s="29"/>
      <c r="B26" s="31"/>
      <c r="C26" s="30" t="s">
        <v>29</v>
      </c>
      <c r="D26" s="30" t="s">
        <v>30</v>
      </c>
      <c r="E26" s="31" t="s">
        <v>14</v>
      </c>
      <c r="F26" s="30">
        <v>20</v>
      </c>
      <c r="G26" s="8"/>
      <c r="H26" s="23"/>
      <c r="I26" s="8"/>
      <c r="J26" s="8"/>
      <c r="K26" s="10"/>
      <c r="L26" s="10">
        <f t="shared" si="2"/>
        <v>0</v>
      </c>
    </row>
    <row r="27" spans="1:12" s="20" customFormat="1" ht="24.75" customHeight="1" x14ac:dyDescent="0.25">
      <c r="A27" s="29"/>
      <c r="B27" s="31"/>
      <c r="C27" s="30" t="s">
        <v>46</v>
      </c>
      <c r="D27" s="30" t="s">
        <v>47</v>
      </c>
      <c r="E27" s="31" t="s">
        <v>14</v>
      </c>
      <c r="F27" s="30">
        <v>20</v>
      </c>
      <c r="G27" s="23"/>
      <c r="H27" s="23"/>
      <c r="I27" s="23"/>
      <c r="J27" s="23"/>
      <c r="K27" s="23"/>
      <c r="L27" s="10">
        <f t="shared" si="2"/>
        <v>0</v>
      </c>
    </row>
    <row r="28" spans="1:12" s="12" customFormat="1" ht="72.75" customHeight="1" x14ac:dyDescent="0.2">
      <c r="A28" s="33"/>
      <c r="B28" s="14">
        <v>14</v>
      </c>
      <c r="C28" s="26" t="s">
        <v>52</v>
      </c>
      <c r="D28" s="27" t="s">
        <v>53</v>
      </c>
      <c r="E28" s="22" t="s">
        <v>22</v>
      </c>
      <c r="F28" s="14">
        <v>2</v>
      </c>
      <c r="G28" s="10"/>
      <c r="H28" s="24" t="s">
        <v>23</v>
      </c>
      <c r="I28" s="10">
        <v>18</v>
      </c>
      <c r="J28" s="10">
        <v>18</v>
      </c>
      <c r="K28" s="10">
        <v>1.5</v>
      </c>
      <c r="L28" s="17">
        <f t="shared" si="0"/>
        <v>486</v>
      </c>
    </row>
    <row r="29" spans="1:12" s="20" customFormat="1" ht="33" customHeight="1" x14ac:dyDescent="0.25">
      <c r="A29" s="29"/>
      <c r="B29" s="31"/>
      <c r="C29" s="30" t="s">
        <v>44</v>
      </c>
      <c r="D29" s="30" t="s">
        <v>45</v>
      </c>
      <c r="E29" s="31" t="s">
        <v>14</v>
      </c>
      <c r="F29" s="30">
        <v>8</v>
      </c>
      <c r="G29" s="30"/>
      <c r="H29" s="23"/>
      <c r="I29" s="23"/>
      <c r="J29" s="23"/>
      <c r="K29" s="23"/>
      <c r="L29" s="10">
        <f t="shared" si="0"/>
        <v>0</v>
      </c>
    </row>
    <row r="30" spans="1:12" s="20" customFormat="1" ht="27" customHeight="1" x14ac:dyDescent="0.25">
      <c r="A30" s="29"/>
      <c r="B30" s="31"/>
      <c r="C30" s="30" t="s">
        <v>29</v>
      </c>
      <c r="D30" s="30" t="s">
        <v>30</v>
      </c>
      <c r="E30" s="31" t="s">
        <v>14</v>
      </c>
      <c r="F30" s="30">
        <v>8</v>
      </c>
      <c r="G30" s="34"/>
      <c r="H30" s="23"/>
      <c r="I30" s="8"/>
      <c r="J30" s="8"/>
      <c r="K30" s="10"/>
      <c r="L30" s="10">
        <f t="shared" si="0"/>
        <v>0</v>
      </c>
    </row>
    <row r="31" spans="1:12" s="20" customFormat="1" ht="28.5" customHeight="1" x14ac:dyDescent="0.25">
      <c r="A31" s="29"/>
      <c r="B31" s="31"/>
      <c r="C31" s="30" t="s">
        <v>46</v>
      </c>
      <c r="D31" s="30" t="s">
        <v>47</v>
      </c>
      <c r="E31" s="31" t="s">
        <v>14</v>
      </c>
      <c r="F31" s="30">
        <v>8</v>
      </c>
      <c r="G31" s="30"/>
      <c r="H31" s="23"/>
      <c r="I31" s="23"/>
      <c r="J31" s="23"/>
      <c r="K31" s="23"/>
      <c r="L31" s="10">
        <f t="shared" si="0"/>
        <v>0</v>
      </c>
    </row>
    <row r="32" spans="1:12" s="12" customFormat="1" ht="98.25" customHeight="1" x14ac:dyDescent="0.25">
      <c r="A32" s="35"/>
      <c r="B32" s="22">
        <v>15</v>
      </c>
      <c r="C32" s="36" t="s">
        <v>54</v>
      </c>
      <c r="D32" s="22" t="s">
        <v>55</v>
      </c>
      <c r="E32" s="22" t="s">
        <v>22</v>
      </c>
      <c r="F32" s="22">
        <v>8</v>
      </c>
      <c r="G32" s="23"/>
      <c r="H32" s="28" t="s">
        <v>26</v>
      </c>
      <c r="I32" s="23">
        <v>29</v>
      </c>
      <c r="J32" s="23">
        <v>60</v>
      </c>
      <c r="K32" s="23">
        <v>1.5</v>
      </c>
      <c r="L32" s="23">
        <f t="shared" si="0"/>
        <v>2610</v>
      </c>
    </row>
    <row r="33" spans="1:12" s="20" customFormat="1" ht="30" customHeight="1" x14ac:dyDescent="0.25">
      <c r="A33" s="29"/>
      <c r="B33" s="31"/>
      <c r="C33" s="30" t="s">
        <v>27</v>
      </c>
      <c r="D33" s="30" t="s">
        <v>28</v>
      </c>
      <c r="E33" s="31" t="s">
        <v>14</v>
      </c>
      <c r="F33" s="30">
        <v>16</v>
      </c>
      <c r="G33" s="34"/>
      <c r="H33" s="23"/>
      <c r="I33" s="8"/>
      <c r="J33" s="8"/>
      <c r="K33" s="10"/>
      <c r="L33" s="23">
        <f t="shared" si="0"/>
        <v>0</v>
      </c>
    </row>
    <row r="34" spans="1:12" s="20" customFormat="1" ht="35.25" customHeight="1" x14ac:dyDescent="0.25">
      <c r="A34" s="29"/>
      <c r="B34" s="31"/>
      <c r="C34" s="30" t="s">
        <v>29</v>
      </c>
      <c r="D34" s="30" t="s">
        <v>30</v>
      </c>
      <c r="E34" s="31" t="s">
        <v>14</v>
      </c>
      <c r="F34" s="30">
        <v>16</v>
      </c>
      <c r="G34" s="34"/>
      <c r="H34" s="23"/>
      <c r="I34" s="8"/>
      <c r="J34" s="8"/>
      <c r="K34" s="10"/>
      <c r="L34" s="23">
        <f t="shared" si="0"/>
        <v>0</v>
      </c>
    </row>
    <row r="35" spans="1:12" s="20" customFormat="1" ht="100.5" customHeight="1" x14ac:dyDescent="0.25">
      <c r="A35" s="37"/>
      <c r="B35" s="14">
        <v>16</v>
      </c>
      <c r="C35" s="15" t="s">
        <v>56</v>
      </c>
      <c r="D35" s="15" t="s">
        <v>57</v>
      </c>
      <c r="E35" s="14" t="s">
        <v>14</v>
      </c>
      <c r="F35" s="14">
        <v>16</v>
      </c>
      <c r="G35" s="10"/>
      <c r="H35" s="38" t="s">
        <v>23</v>
      </c>
      <c r="I35" s="23">
        <v>5.5</v>
      </c>
      <c r="J35" s="23">
        <v>5.5</v>
      </c>
      <c r="K35" s="23">
        <v>4</v>
      </c>
      <c r="L35" s="10">
        <f t="shared" si="0"/>
        <v>121</v>
      </c>
    </row>
    <row r="36" spans="1:12" s="20" customFormat="1" ht="34.5" customHeight="1" x14ac:dyDescent="0.25">
      <c r="A36" s="39"/>
      <c r="B36" s="31"/>
      <c r="C36" s="30" t="s">
        <v>44</v>
      </c>
      <c r="D36" s="30" t="s">
        <v>45</v>
      </c>
      <c r="E36" s="31" t="s">
        <v>14</v>
      </c>
      <c r="F36" s="30">
        <v>32</v>
      </c>
      <c r="G36" s="30"/>
      <c r="H36" s="23"/>
      <c r="I36" s="23"/>
      <c r="J36" s="23"/>
      <c r="K36" s="23"/>
      <c r="L36" s="10">
        <f t="shared" si="0"/>
        <v>0</v>
      </c>
    </row>
    <row r="37" spans="1:12" s="20" customFormat="1" ht="28.5" customHeight="1" x14ac:dyDescent="0.25">
      <c r="A37" s="39"/>
      <c r="B37" s="31"/>
      <c r="C37" s="30" t="s">
        <v>29</v>
      </c>
      <c r="D37" s="30" t="s">
        <v>30</v>
      </c>
      <c r="E37" s="31" t="s">
        <v>14</v>
      </c>
      <c r="F37" s="30">
        <v>32</v>
      </c>
      <c r="G37" s="34"/>
      <c r="H37" s="23"/>
      <c r="I37" s="8"/>
      <c r="J37" s="8"/>
      <c r="K37" s="10"/>
      <c r="L37" s="10">
        <f t="shared" si="0"/>
        <v>0</v>
      </c>
    </row>
    <row r="38" spans="1:12" s="20" customFormat="1" ht="26.25" customHeight="1" x14ac:dyDescent="0.25">
      <c r="A38" s="39"/>
      <c r="B38" s="31"/>
      <c r="C38" s="30" t="s">
        <v>46</v>
      </c>
      <c r="D38" s="30" t="s">
        <v>47</v>
      </c>
      <c r="E38" s="31" t="s">
        <v>14</v>
      </c>
      <c r="F38" s="30">
        <v>32</v>
      </c>
      <c r="G38" s="30"/>
      <c r="H38" s="23"/>
      <c r="I38" s="23"/>
      <c r="J38" s="23"/>
      <c r="K38" s="23"/>
      <c r="L38" s="10">
        <f t="shared" si="0"/>
        <v>0</v>
      </c>
    </row>
    <row r="39" spans="1:12" s="12" customFormat="1" ht="63" customHeight="1" x14ac:dyDescent="0.25">
      <c r="A39" s="40"/>
      <c r="B39" s="14">
        <v>17</v>
      </c>
      <c r="C39" s="26" t="s">
        <v>58</v>
      </c>
      <c r="D39" s="14" t="s">
        <v>59</v>
      </c>
      <c r="E39" s="22" t="s">
        <v>22</v>
      </c>
      <c r="F39" s="14">
        <v>4</v>
      </c>
      <c r="G39" s="10"/>
      <c r="H39" s="38" t="s">
        <v>23</v>
      </c>
      <c r="I39" s="10">
        <v>43</v>
      </c>
      <c r="J39" s="10">
        <v>43</v>
      </c>
      <c r="K39" s="10">
        <v>12</v>
      </c>
      <c r="L39" s="17">
        <f t="shared" ref="L39:L42" si="3">I39*J39*K39</f>
        <v>22188</v>
      </c>
    </row>
    <row r="40" spans="1:12" s="20" customFormat="1" ht="35.25" customHeight="1" x14ac:dyDescent="0.25">
      <c r="A40" s="29"/>
      <c r="B40" s="10"/>
      <c r="C40" s="23" t="s">
        <v>27</v>
      </c>
      <c r="D40" s="23" t="s">
        <v>28</v>
      </c>
      <c r="E40" s="10" t="s">
        <v>14</v>
      </c>
      <c r="F40" s="23">
        <v>16</v>
      </c>
      <c r="G40" s="8"/>
      <c r="H40" s="23"/>
      <c r="I40" s="8"/>
      <c r="J40" s="8"/>
      <c r="K40" s="10"/>
      <c r="L40" s="23">
        <f t="shared" si="3"/>
        <v>0</v>
      </c>
    </row>
    <row r="41" spans="1:12" s="20" customFormat="1" ht="35.25" customHeight="1" x14ac:dyDescent="0.25">
      <c r="A41" s="29"/>
      <c r="B41" s="10"/>
      <c r="C41" s="23" t="s">
        <v>29</v>
      </c>
      <c r="D41" s="23" t="s">
        <v>30</v>
      </c>
      <c r="E41" s="10" t="s">
        <v>14</v>
      </c>
      <c r="F41" s="23">
        <v>16</v>
      </c>
      <c r="G41" s="8"/>
      <c r="H41" s="23"/>
      <c r="I41" s="8"/>
      <c r="J41" s="8"/>
      <c r="K41" s="10"/>
      <c r="L41" s="23">
        <f t="shared" si="3"/>
        <v>0</v>
      </c>
    </row>
    <row r="42" spans="1:12" ht="58.5" customHeight="1" x14ac:dyDescent="0.25">
      <c r="A42" s="41"/>
      <c r="B42" s="14">
        <v>18</v>
      </c>
      <c r="C42" s="19" t="s">
        <v>60</v>
      </c>
      <c r="D42" s="19" t="s">
        <v>61</v>
      </c>
      <c r="E42" s="14" t="s">
        <v>14</v>
      </c>
      <c r="F42" s="19">
        <v>62</v>
      </c>
      <c r="G42" s="42"/>
      <c r="H42" s="43" t="s">
        <v>62</v>
      </c>
      <c r="I42" s="43">
        <v>2.7</v>
      </c>
      <c r="J42" s="43">
        <v>2.7</v>
      </c>
      <c r="K42" s="43">
        <v>1.6</v>
      </c>
      <c r="L42" s="17">
        <f t="shared" si="3"/>
        <v>11.664000000000001</v>
      </c>
    </row>
    <row r="43" spans="1:12" ht="66.75" customHeight="1" x14ac:dyDescent="0.25">
      <c r="A43" s="41"/>
      <c r="B43" s="14">
        <v>19</v>
      </c>
      <c r="C43" s="19" t="s">
        <v>63</v>
      </c>
      <c r="D43" s="19" t="s">
        <v>64</v>
      </c>
      <c r="E43" s="14" t="s">
        <v>14</v>
      </c>
      <c r="F43" s="19">
        <v>50</v>
      </c>
      <c r="G43" s="42"/>
      <c r="H43" s="43" t="s">
        <v>62</v>
      </c>
      <c r="I43" s="43">
        <v>3.6</v>
      </c>
      <c r="J43" s="43">
        <v>3.6</v>
      </c>
      <c r="K43" s="43">
        <v>2.2999999999999998</v>
      </c>
      <c r="L43" s="44">
        <v>1E-4</v>
      </c>
    </row>
    <row r="44" spans="1:12" ht="66.75" customHeight="1" x14ac:dyDescent="0.25">
      <c r="A44" s="41"/>
      <c r="B44" s="19">
        <v>20</v>
      </c>
      <c r="C44" s="19" t="s">
        <v>65</v>
      </c>
      <c r="D44" s="19" t="s">
        <v>66</v>
      </c>
      <c r="E44" s="14" t="s">
        <v>14</v>
      </c>
      <c r="F44" s="19">
        <v>2</v>
      </c>
      <c r="G44" s="42"/>
      <c r="H44" s="43" t="s">
        <v>62</v>
      </c>
      <c r="I44" s="43">
        <v>10</v>
      </c>
      <c r="J44" s="43">
        <v>10</v>
      </c>
      <c r="K44" s="43">
        <v>4.4000000000000004</v>
      </c>
      <c r="L44" s="44">
        <v>1E-4</v>
      </c>
    </row>
    <row r="45" spans="1:12" x14ac:dyDescent="0.25">
      <c r="B45" s="45"/>
      <c r="C45" s="46"/>
      <c r="D45" s="47"/>
      <c r="E45" s="47"/>
      <c r="F45" s="6"/>
    </row>
  </sheetData>
  <mergeCells count="3">
    <mergeCell ref="A1:L1"/>
    <mergeCell ref="B2:L2"/>
    <mergeCell ref="B3:L3"/>
  </mergeCells>
  <pageMargins left="0.70866141732283472" right="0.70866141732283472" top="0.74803149606299213" bottom="0.74803149606299213" header="0.31496062992125984" footer="0.31496062992125984"/>
  <pageSetup paperSize="9" scale="40" firstPageNumber="42949672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firstPageNumber="4294967295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firstPageNumber="42949672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revision>1</cp:revision>
  <cp:lastPrinted>2025-03-28T10:50:56Z</cp:lastPrinted>
  <dcterms:created xsi:type="dcterms:W3CDTF">2017-04-27T07:18:00Z</dcterms:created>
  <dcterms:modified xsi:type="dcterms:W3CDTF">2025-03-28T10:50:58Z</dcterms:modified>
</cp:coreProperties>
</file>