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idworks\ПСР-1.46\"/>
    </mc:Choice>
  </mc:AlternateContent>
  <xr:revisionPtr revIDLastSave="0" documentId="13_ncr:1_{B0070037-0271-4A24-A606-952A40A611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O13" i="1" l="1"/>
  <c r="M13" i="1"/>
  <c r="K13" i="1"/>
  <c r="P13" i="1" s="1"/>
  <c r="M21" i="1"/>
  <c r="K21" i="1"/>
  <c r="P21" i="1" s="1"/>
  <c r="K20" i="1"/>
  <c r="K19" i="1"/>
  <c r="K18" i="1"/>
  <c r="K17" i="1"/>
  <c r="K16" i="1"/>
  <c r="K15" i="1"/>
  <c r="P14" i="1"/>
  <c r="O14" i="1"/>
  <c r="M14" i="1"/>
  <c r="M9" i="1"/>
  <c r="M10" i="1"/>
  <c r="M11" i="1"/>
  <c r="M12" i="1"/>
  <c r="M15" i="1"/>
  <c r="M16" i="1"/>
  <c r="M17" i="1"/>
  <c r="M18" i="1"/>
  <c r="M19" i="1"/>
  <c r="M20" i="1"/>
  <c r="M22" i="1"/>
  <c r="M23" i="1"/>
  <c r="M24" i="1"/>
  <c r="M25" i="1"/>
  <c r="M26" i="1"/>
  <c r="M27" i="1"/>
  <c r="M28" i="1"/>
  <c r="K12" i="1"/>
  <c r="K11" i="1"/>
  <c r="K10" i="1"/>
  <c r="K28" i="1"/>
  <c r="K27" i="1"/>
  <c r="P26" i="1" l="1"/>
  <c r="P27" i="1"/>
  <c r="P28" i="1"/>
  <c r="K23" i="1"/>
  <c r="P23" i="1" s="1"/>
  <c r="K22" i="1"/>
  <c r="P22" i="1" s="1"/>
  <c r="P9" i="1"/>
  <c r="P10" i="1"/>
  <c r="P11" i="1"/>
  <c r="P12" i="1"/>
  <c r="P24" i="1"/>
  <c r="O19" i="1"/>
  <c r="O20" i="1"/>
  <c r="O22" i="1"/>
  <c r="O23" i="1"/>
  <c r="O24" i="1"/>
  <c r="O25" i="1"/>
  <c r="O26" i="1"/>
  <c r="O27" i="1"/>
  <c r="O28" i="1"/>
  <c r="K25" i="1"/>
  <c r="P25" i="1" l="1"/>
  <c r="K7" i="1"/>
  <c r="P7" i="1" s="1"/>
  <c r="P20" i="1" l="1"/>
  <c r="P19" i="1"/>
  <c r="P18" i="1"/>
  <c r="P17" i="1"/>
  <c r="P16" i="1"/>
  <c r="P15" i="1"/>
  <c r="O11" i="1"/>
  <c r="O12" i="1"/>
  <c r="O15" i="1"/>
  <c r="O16" i="1"/>
  <c r="O17" i="1"/>
  <c r="O18" i="1"/>
  <c r="K6" i="1"/>
  <c r="O9" i="1" l="1"/>
  <c r="O10" i="1"/>
  <c r="P6" i="1" l="1"/>
  <c r="P29" i="1" s="1"/>
  <c r="K8" i="1"/>
  <c r="P8" i="1" s="1"/>
  <c r="O8" i="1"/>
  <c r="O29" i="1" s="1"/>
  <c r="M8" i="1"/>
  <c r="M29" i="1" s="1"/>
</calcChain>
</file>

<file path=xl/sharedStrings.xml><?xml version="1.0" encoding="utf-8"?>
<sst xmlns="http://schemas.openxmlformats.org/spreadsheetml/2006/main" count="65" uniqueCount="61">
  <si>
    <t>тик</t>
  </si>
  <si>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</si>
  <si>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</si>
  <si>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</si>
  <si>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</si>
  <si>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</si>
  <si>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</si>
  <si>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</si>
  <si>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</si>
  <si>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</si>
  <si>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</si>
  <si>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</si>
  <si>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Уголок крепления фанеры</t>
  </si>
  <si>
    <t>Заглушка пластиковая на болт М6 (черные)</t>
  </si>
  <si>
    <t>Заглушка пластиковая на болт М8-10 (черные)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</si>
  <si>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</si>
  <si>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</si>
  <si>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</si>
  <si>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</si>
  <si>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</si>
  <si>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</si>
  <si>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ЭЛЕМЕНТЫ ДОМИКОВ  1.08</t>
  </si>
  <si>
    <t>ЗАГЛУШКИ</t>
  </si>
  <si>
    <t>Петли для песочницы</t>
  </si>
  <si>
    <t>МЕТАЛЛ</t>
  </si>
  <si>
    <t>Черный</t>
  </si>
  <si>
    <t>ПЕСОЧНИЦА</t>
  </si>
  <si>
    <t>Доска 35х90х1500 мм (красный)</t>
  </si>
  <si>
    <t>Доска 35х90х1500 мм (голубой)</t>
  </si>
  <si>
    <t>Доска 35х90х1500 мм (желтый)</t>
  </si>
  <si>
    <t>Доска 35х90х200 мм (голубой)</t>
  </si>
  <si>
    <t>Размер 1,66 х 2,80 х 2,00 м</t>
  </si>
  <si>
    <t>ПСР-1.46</t>
  </si>
  <si>
    <t>Закладная для столба 100х100</t>
  </si>
  <si>
    <t>Столб (брус 100х100)  300 мм</t>
  </si>
  <si>
    <t>Столб (брус 100х100)  1500 мм</t>
  </si>
  <si>
    <t>0038ДБ</t>
  </si>
  <si>
    <t>0008ДБ</t>
  </si>
  <si>
    <t>0013МП</t>
  </si>
  <si>
    <t>0088ДБ</t>
  </si>
  <si>
    <t>Скат крыши песочницы 1.46
984 x 800 x 15</t>
  </si>
  <si>
    <t>Крышка песочницы 1.46
1600 x 1180 x 15</t>
  </si>
  <si>
    <t>000693</t>
  </si>
  <si>
    <t>000694</t>
  </si>
  <si>
    <t>000695</t>
  </si>
  <si>
    <t>000696</t>
  </si>
  <si>
    <t>000697</t>
  </si>
  <si>
    <t>000698</t>
  </si>
  <si>
    <t>000699</t>
  </si>
  <si>
    <t>0003МП</t>
  </si>
  <si>
    <t>0208МП</t>
  </si>
  <si>
    <t>оцинкованный</t>
  </si>
  <si>
    <t>КЧМ6КС</t>
  </si>
  <si>
    <t>КЧМ8КС</t>
  </si>
  <si>
    <t>Ручка песочницы ПСР-1.04</t>
  </si>
  <si>
    <t>0001МП</t>
  </si>
  <si>
    <t>Панель большая песочницы 1.46
1500 x 480 x 15</t>
  </si>
  <si>
    <t>Панель малая песочницы 1.46
700 x 480 x 15</t>
  </si>
  <si>
    <t>Столешница песочницы 1.46
1660 x 780 x 15</t>
  </si>
  <si>
    <t>Столешница угловая песочницы 1.46
1660 x 880 x 15</t>
  </si>
  <si>
    <t>Фронтон песочницы 1.46
1589 x 700 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</si>
</sst>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0.0000"/>
    <numFmt numFmtId="167" formatCode="0.00000"/>
  </numFmts>
  <fonts count="16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15" xfId="0" applyFont="1" applyBorder="1"/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center" vertical="center" wrapText="1"/>
    </xf>
    <xf numFmtId="166" fontId="0" fillId="0" borderId="0" xfId="1" applyNumberFormat="1" applyFont="1" applyAlignment="1"/>
    <xf numFmtId="0" fontId="3" fillId="0" borderId="2" xfId="0" applyFont="1" applyBorder="1"/>
    <xf numFmtId="166" fontId="5" fillId="0" borderId="12" xfId="1" applyNumberFormat="1" applyFont="1" applyBorder="1" applyAlignment="1">
      <alignment vertical="center" wrapText="1"/>
    </xf>
    <xf numFmtId="0" fontId="3" fillId="0" borderId="16" xfId="0" applyFont="1" applyBorder="1"/>
    <xf numFmtId="0" fontId="4" fillId="0" borderId="17" xfId="0" applyFont="1" applyBorder="1" applyAlignment="1">
      <alignment horizontal="center" vertical="center" textRotation="90" wrapText="1"/>
    </xf>
    <xf numFmtId="166" fontId="5" fillId="0" borderId="8" xfId="1" applyNumberFormat="1" applyFont="1" applyBorder="1" applyAlignment="1">
      <alignment vertical="center" wrapText="1"/>
    </xf>
    <xf numFmtId="0" fontId="3" fillId="0" borderId="13" xfId="0" applyFont="1" applyBorder="1"/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5" fontId="5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0" xfId="0" applyFont="1" applyAlignment="1">
      <alignment horizontal="left" indent="1"/>
    </xf>
    <xf numFmtId="0" fontId="5" fillId="3" borderId="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 indent="1"/>
    </xf>
    <xf numFmtId="0" fontId="5" fillId="2" borderId="19" xfId="0" applyFont="1" applyFill="1" applyBorder="1" applyAlignment="1">
      <alignment horizontal="center" vertical="center"/>
    </xf>
    <xf numFmtId="166" fontId="5" fillId="0" borderId="20" xfId="1" applyNumberFormat="1" applyFont="1" applyBorder="1" applyAlignment="1">
      <alignment vertical="center" wrapText="1"/>
    </xf>
    <xf numFmtId="166" fontId="5" fillId="0" borderId="6" xfId="1" applyNumberFormat="1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 wrapText="1"/>
    </xf>
    <xf numFmtId="165" fontId="11" fillId="0" borderId="23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1" xfId="0" applyFont="1" applyBorder="1"/>
    <xf numFmtId="0" fontId="5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textRotation="90" wrapText="1"/>
    </xf>
    <xf numFmtId="0" fontId="3" fillId="0" borderId="17" xfId="0" applyFont="1" applyBorder="1"/>
    <xf numFmtId="0" fontId="3" fillId="0" borderId="26" xfId="0" applyFont="1" applyBorder="1"/>
    <xf numFmtId="0" fontId="14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5" fillId="0" borderId="22" xfId="0" applyFont="1" applyBorder="1"/>
    <xf numFmtId="0" fontId="3" fillId="0" borderId="22" xfId="0" applyFont="1" applyBorder="1" applyAlignment="1">
      <alignment horizontal="center" vertical="center"/>
    </xf>
    <xf numFmtId="167" fontId="3" fillId="0" borderId="23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3" fillId="0" borderId="8" xfId="1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textRotation="90" wrapText="1"/>
    </xf>
    <xf numFmtId="0" fontId="9" fillId="3" borderId="17" xfId="0" applyFont="1" applyFill="1" applyBorder="1" applyAlignment="1">
      <alignment horizontal="center" vertical="center" textRotation="90" wrapText="1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26</xdr:row>
      <xdr:rowOff>0</xdr:rowOff>
    </xdr:from>
    <xdr:to>
      <xdr:col>5</xdr:col>
      <xdr:colOff>1681025</xdr:colOff>
      <xdr:row>26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26</xdr:row>
      <xdr:rowOff>89647</xdr:rowOff>
    </xdr:from>
    <xdr:to>
      <xdr:col>5</xdr:col>
      <xdr:colOff>1171163</xdr:colOff>
      <xdr:row>26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850933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136074</xdr:colOff>
      <xdr:row>7</xdr:row>
      <xdr:rowOff>176891</xdr:rowOff>
    </xdr:from>
    <xdr:to>
      <xdr:col>5</xdr:col>
      <xdr:colOff>1553724</xdr:colOff>
      <xdr:row>7</xdr:row>
      <xdr:rowOff>680356</xdr:rowOff>
    </xdr:to>
    <xdr:pic>
      <xdr:nvPicPr>
        <xdr:cNvPr id="72" name="Picture 1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-2703" b="47582"/>
        <a:stretch>
          <a:fillRect/>
        </a:stretch>
      </xdr:blipFill>
      <xdr:spPr bwMode="auto">
        <a:xfrm rot="16200000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850934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15829" y="25982520"/>
          <a:ext cx="832866" cy="809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850926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2476498</xdr:colOff>
      <xdr:row>2</xdr:row>
      <xdr:rowOff>1905647</xdr:rowOff>
    </xdr:from>
    <xdr:to>
      <xdr:col>7</xdr:col>
      <xdr:colOff>544284</xdr:colOff>
      <xdr:row>2</xdr:row>
      <xdr:rowOff>5129894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001" t="6280" b="5092"/>
        <a:stretch>
          <a:fillRect/>
        </a:stretch>
      </xdr:blipFill>
      <xdr:spPr>
        <a:xfrm>
          <a:off x="4082141" y="2422718"/>
          <a:ext cx="4231822" cy="32242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106119</xdr:colOff>
      <xdr:row>2</xdr:row>
      <xdr:rowOff>175256</xdr:rowOff>
    </xdr:from>
    <xdr:to>
      <xdr:col>3</xdr:col>
      <xdr:colOff>2587757</xdr:colOff>
      <xdr:row>2</xdr:row>
      <xdr:rowOff>3728357</xdr:rowOff>
    </xdr:to>
    <xdr:pic>
      <xdr:nvPicPr>
        <xdr:cNvPr id="118" name="Рисунок 117" descr="2-11_вид 2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r="6054"/>
        <a:stretch>
          <a:fillRect/>
        </a:stretch>
      </xdr:blipFill>
      <xdr:spPr>
        <a:xfrm>
          <a:off x="106119" y="692327"/>
          <a:ext cx="4087281" cy="3553101"/>
        </a:xfrm>
        <a:prstGeom prst="rect">
          <a:avLst/>
        </a:prstGeom>
      </xdr:spPr>
    </xdr:pic>
    <xdr:clientData/>
  </xdr:twoCellAnchor>
  <xdr:twoCellAnchor editAs="oneCell">
    <xdr:from>
      <xdr:col>5</xdr:col>
      <xdr:colOff>1646463</xdr:colOff>
      <xdr:row>2</xdr:row>
      <xdr:rowOff>117797</xdr:rowOff>
    </xdr:from>
    <xdr:to>
      <xdr:col>10</xdr:col>
      <xdr:colOff>503464</xdr:colOff>
      <xdr:row>2</xdr:row>
      <xdr:rowOff>2721428</xdr:rowOff>
    </xdr:to>
    <xdr:pic>
      <xdr:nvPicPr>
        <xdr:cNvPr id="119" name="Рисунок 118" descr="2-11_вид 2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t="7686" b="6805"/>
        <a:stretch>
          <a:fillRect/>
        </a:stretch>
      </xdr:blipFill>
      <xdr:spPr>
        <a:xfrm>
          <a:off x="6776356" y="634868"/>
          <a:ext cx="3728358" cy="2603631"/>
        </a:xfrm>
        <a:prstGeom prst="rect">
          <a:avLst/>
        </a:prstGeom>
      </xdr:spPr>
    </xdr:pic>
    <xdr:clientData/>
  </xdr:twoCellAnchor>
  <xdr:twoCellAnchor>
    <xdr:from>
      <xdr:col>5</xdr:col>
      <xdr:colOff>149038</xdr:colOff>
      <xdr:row>24</xdr:row>
      <xdr:rowOff>92585</xdr:rowOff>
    </xdr:from>
    <xdr:to>
      <xdr:col>5</xdr:col>
      <xdr:colOff>1467971</xdr:colOff>
      <xdr:row>24</xdr:row>
      <xdr:rowOff>1130934</xdr:rowOff>
    </xdr:to>
    <xdr:pic>
      <xdr:nvPicPr>
        <xdr:cNvPr id="46" name="Picture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4873438" y="8998460"/>
          <a:ext cx="1318933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133746</xdr:colOff>
      <xdr:row>14</xdr:row>
      <xdr:rowOff>80537</xdr:rowOff>
    </xdr:from>
    <xdr:to>
      <xdr:col>5</xdr:col>
      <xdr:colOff>1702611</xdr:colOff>
      <xdr:row>14</xdr:row>
      <xdr:rowOff>639534</xdr:rowOff>
    </xdr:to>
    <xdr:pic>
      <xdr:nvPicPr>
        <xdr:cNvPr id="22" name="Рисунок 21" descr="Пол мостика 1500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67746" y="232681037"/>
          <a:ext cx="1568865" cy="558997"/>
        </a:xfrm>
        <a:prstGeom prst="rect">
          <a:avLst/>
        </a:prstGeom>
      </xdr:spPr>
    </xdr:pic>
    <xdr:clientData/>
  </xdr:twoCellAnchor>
  <xdr:twoCellAnchor>
    <xdr:from>
      <xdr:col>5</xdr:col>
      <xdr:colOff>364830</xdr:colOff>
      <xdr:row>15</xdr:row>
      <xdr:rowOff>81054</xdr:rowOff>
    </xdr:from>
    <xdr:to>
      <xdr:col>5</xdr:col>
      <xdr:colOff>1445132</xdr:colOff>
      <xdr:row>15</xdr:row>
      <xdr:rowOff>857250</xdr:rowOff>
    </xdr:to>
    <xdr:pic>
      <xdr:nvPicPr>
        <xdr:cNvPr id="23" name="Рисунок 22" descr="Пол мостика 1500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698830" y="233414979"/>
          <a:ext cx="1080302" cy="776196"/>
        </a:xfrm>
        <a:prstGeom prst="rect">
          <a:avLst/>
        </a:prstGeom>
      </xdr:spPr>
    </xdr:pic>
    <xdr:clientData/>
  </xdr:twoCellAnchor>
  <xdr:twoCellAnchor>
    <xdr:from>
      <xdr:col>5</xdr:col>
      <xdr:colOff>81643</xdr:colOff>
      <xdr:row>16</xdr:row>
      <xdr:rowOff>143583</xdr:rowOff>
    </xdr:from>
    <xdr:to>
      <xdr:col>5</xdr:col>
      <xdr:colOff>1678957</xdr:colOff>
      <xdr:row>16</xdr:row>
      <xdr:rowOff>925286</xdr:rowOff>
    </xdr:to>
    <xdr:pic>
      <xdr:nvPicPr>
        <xdr:cNvPr id="24" name="Рисунок 23" descr="Пол мостика 150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415643" y="234410958"/>
          <a:ext cx="1597314" cy="781703"/>
        </a:xfrm>
        <a:prstGeom prst="rect">
          <a:avLst/>
        </a:prstGeom>
      </xdr:spPr>
    </xdr:pic>
    <xdr:clientData/>
  </xdr:twoCellAnchor>
  <xdr:twoCellAnchor>
    <xdr:from>
      <xdr:col>5</xdr:col>
      <xdr:colOff>116955</xdr:colOff>
      <xdr:row>17</xdr:row>
      <xdr:rowOff>95659</xdr:rowOff>
    </xdr:from>
    <xdr:to>
      <xdr:col>5</xdr:col>
      <xdr:colOff>1629869</xdr:colOff>
      <xdr:row>17</xdr:row>
      <xdr:rowOff>952499</xdr:rowOff>
    </xdr:to>
    <xdr:pic>
      <xdr:nvPicPr>
        <xdr:cNvPr id="25" name="Рисунок 24" descr="Пол мостика 150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450955" y="235467934"/>
          <a:ext cx="1512914" cy="856840"/>
        </a:xfrm>
        <a:prstGeom prst="rect">
          <a:avLst/>
        </a:prstGeom>
      </xdr:spPr>
    </xdr:pic>
    <xdr:clientData/>
  </xdr:twoCellAnchor>
  <xdr:twoCellAnchor>
    <xdr:from>
      <xdr:col>5</xdr:col>
      <xdr:colOff>89742</xdr:colOff>
      <xdr:row>18</xdr:row>
      <xdr:rowOff>91020</xdr:rowOff>
    </xdr:from>
    <xdr:to>
      <xdr:col>5</xdr:col>
      <xdr:colOff>1706994</xdr:colOff>
      <xdr:row>18</xdr:row>
      <xdr:rowOff>884464</xdr:rowOff>
    </xdr:to>
    <xdr:pic>
      <xdr:nvPicPr>
        <xdr:cNvPr id="26" name="Рисунок 25" descr="Пол мостика 150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423742" y="236491995"/>
          <a:ext cx="1617252" cy="793444"/>
        </a:xfrm>
        <a:prstGeom prst="rect">
          <a:avLst/>
        </a:prstGeom>
      </xdr:spPr>
    </xdr:pic>
    <xdr:clientData/>
  </xdr:twoCellAnchor>
  <xdr:twoCellAnchor>
    <xdr:from>
      <xdr:col>5</xdr:col>
      <xdr:colOff>289768</xdr:colOff>
      <xdr:row>19</xdr:row>
      <xdr:rowOff>121418</xdr:rowOff>
    </xdr:from>
    <xdr:to>
      <xdr:col>5</xdr:col>
      <xdr:colOff>1436691</xdr:colOff>
      <xdr:row>19</xdr:row>
      <xdr:rowOff>1020536</xdr:rowOff>
    </xdr:to>
    <xdr:pic>
      <xdr:nvPicPr>
        <xdr:cNvPr id="27" name="Рисунок 26" descr="Пол мостика 150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623768" y="237503468"/>
          <a:ext cx="1146923" cy="899118"/>
        </a:xfrm>
        <a:prstGeom prst="rect">
          <a:avLst/>
        </a:prstGeom>
      </xdr:spPr>
    </xdr:pic>
    <xdr:clientData/>
  </xdr:twoCellAnchor>
  <xdr:twoCellAnchor>
    <xdr:from>
      <xdr:col>5</xdr:col>
      <xdr:colOff>329749</xdr:colOff>
      <xdr:row>20</xdr:row>
      <xdr:rowOff>97000</xdr:rowOff>
    </xdr:from>
    <xdr:to>
      <xdr:col>5</xdr:col>
      <xdr:colOff>1436933</xdr:colOff>
      <xdr:row>20</xdr:row>
      <xdr:rowOff>938893</xdr:rowOff>
    </xdr:to>
    <xdr:pic>
      <xdr:nvPicPr>
        <xdr:cNvPr id="28" name="Рисунок 27" descr="Пол мостика 1500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663749" y="238641100"/>
          <a:ext cx="1107184" cy="84189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22</xdr:row>
      <xdr:rowOff>54429</xdr:rowOff>
    </xdr:from>
    <xdr:to>
      <xdr:col>5</xdr:col>
      <xdr:colOff>1347107</xdr:colOff>
      <xdr:row>22</xdr:row>
      <xdr:rowOff>926777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9EA144D-E705-9E72-8EA3-9CBF3DF5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5643" y="17689286"/>
          <a:ext cx="1061357" cy="872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571500</xdr:colOff>
      <xdr:row>21</xdr:row>
      <xdr:rowOff>163284</xdr:rowOff>
    </xdr:from>
    <xdr:to>
      <xdr:col>5</xdr:col>
      <xdr:colOff>1129393</xdr:colOff>
      <xdr:row>21</xdr:row>
      <xdr:rowOff>775605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9681555-4B55-44D8-A82C-7812DC54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 bwMode="auto">
        <a:xfrm>
          <a:off x="5701393" y="16913677"/>
          <a:ext cx="557893" cy="6123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B1" zoomScale="70" zoomScaleNormal="70" workbookViewId="0">
      <selection activeCell="C8" sqref="C8"/>
    </sheetView>
  </sheetViews>
  <sheetFormatPr defaultRowHeight="15.75" x14ac:dyDescent="0.25"/>
  <cols>
    <col min="1" max="1" width="6.28515625" hidden="1" customWidth="1"/>
    <col min="2" max="2" width="7.7109375" style="3" customWidth="1"/>
    <col min="3" max="3" width="16.28515625" customWidth="1"/>
    <col min="4" max="4" width="41.28515625" style="35" customWidth="1"/>
    <col min="5" max="5" width="11.7109375" style="4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19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</cols>
  <sheetData>
    <row r="1" spans="1:16" ht="21" x14ac:dyDescent="0.25">
      <c r="A1" s="94" t="s">
        <v>32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6" ht="18.75" customHeight="1" thickBot="1" x14ac:dyDescent="0.3">
      <c r="A2" s="8"/>
      <c r="B2" s="99" t="s">
        <v>31</v>
      </c>
      <c r="C2" s="99"/>
      <c r="D2" s="99"/>
      <c r="E2" s="99"/>
      <c r="F2" s="99"/>
      <c r="G2" s="99"/>
      <c r="H2" s="99"/>
      <c r="I2" s="99"/>
      <c r="J2" s="99"/>
      <c r="K2" s="99"/>
    </row>
    <row r="3" spans="1:16" ht="408.75" customHeight="1" thickBot="1" x14ac:dyDescent="0.3">
      <c r="A3" s="2"/>
      <c r="B3" s="96"/>
      <c r="C3" s="97"/>
      <c r="D3" s="97"/>
      <c r="E3" s="97"/>
      <c r="F3" s="97"/>
      <c r="G3" s="97"/>
      <c r="H3" s="97"/>
      <c r="I3" s="97"/>
      <c r="J3" s="97"/>
      <c r="K3" s="98"/>
    </row>
    <row r="4" spans="1:16" ht="69" customHeight="1" thickBot="1" x14ac:dyDescent="0.3">
      <c r="A4" s="9"/>
      <c r="B4" s="10" t="s">
        <v>1</v>
      </c>
      <c r="C4" s="5" t="s">
        <v>3</v>
      </c>
      <c r="D4" s="6" t="s">
        <v>2</v>
      </c>
      <c r="E4" s="5" t="s">
        <v>10</v>
      </c>
      <c r="F4" s="5" t="s">
        <v>4</v>
      </c>
      <c r="G4" s="5" t="s">
        <v>5</v>
      </c>
      <c r="H4" s="7" t="s">
        <v>6</v>
      </c>
      <c r="I4" s="7" t="s">
        <v>7</v>
      </c>
      <c r="J4" s="7" t="s">
        <v>8</v>
      </c>
      <c r="K4" s="21" t="s">
        <v>9</v>
      </c>
      <c r="L4" s="15" t="s">
        <v>16</v>
      </c>
      <c r="M4" s="27" t="s">
        <v>17</v>
      </c>
      <c r="N4" s="28" t="s">
        <v>18</v>
      </c>
      <c r="O4" s="27" t="s">
        <v>19</v>
      </c>
      <c r="P4" s="31" t="s">
        <v>20</v>
      </c>
    </row>
    <row r="5" spans="1:16" thickBot="1" x14ac:dyDescent="0.3">
      <c r="A5" s="22"/>
      <c r="B5" s="86" t="s">
        <v>11</v>
      </c>
      <c r="C5" s="87"/>
      <c r="D5" s="87"/>
      <c r="E5" s="87"/>
      <c r="F5" s="87"/>
      <c r="G5" s="87"/>
      <c r="H5" s="87"/>
      <c r="I5" s="87"/>
      <c r="J5" s="87"/>
      <c r="K5" s="88"/>
      <c r="L5" s="20"/>
      <c r="M5" s="29"/>
      <c r="N5" s="29"/>
      <c r="O5" s="29"/>
      <c r="P5" s="32"/>
    </row>
    <row r="6" spans="1:16" s="1" customFormat="1" ht="24" customHeight="1" x14ac:dyDescent="0.2">
      <c r="A6" s="22"/>
      <c r="B6" s="43">
        <v>1</v>
      </c>
      <c r="C6" s="54" t="s">
        <v>36</v>
      </c>
      <c r="D6" s="55" t="s">
        <v>34</v>
      </c>
      <c r="E6" s="44">
        <v>2</v>
      </c>
      <c r="F6" s="45"/>
      <c r="G6" s="44" t="s">
        <v>0</v>
      </c>
      <c r="H6" s="46">
        <v>0.3</v>
      </c>
      <c r="I6" s="46">
        <v>0.09</v>
      </c>
      <c r="J6" s="46">
        <v>0.09</v>
      </c>
      <c r="K6" s="47">
        <f>H6*I6*J6</f>
        <v>2.4299999999999999E-3</v>
      </c>
      <c r="L6" s="49"/>
      <c r="M6" s="33"/>
      <c r="N6" s="33"/>
      <c r="O6" s="33"/>
      <c r="P6" s="33">
        <f t="shared" ref="P6:P28" si="0">K6*E6</f>
        <v>4.8599999999999997E-3</v>
      </c>
    </row>
    <row r="7" spans="1:16" s="1" customFormat="1" ht="18.75" customHeight="1" x14ac:dyDescent="0.2">
      <c r="A7" s="23"/>
      <c r="B7" s="11">
        <v>2</v>
      </c>
      <c r="C7" s="54" t="s">
        <v>37</v>
      </c>
      <c r="D7" s="55" t="s">
        <v>35</v>
      </c>
      <c r="E7" s="12">
        <v>4</v>
      </c>
      <c r="F7" s="12"/>
      <c r="G7" s="12" t="s">
        <v>0</v>
      </c>
      <c r="H7" s="12">
        <v>1.5</v>
      </c>
      <c r="I7" s="12">
        <v>0.09</v>
      </c>
      <c r="J7" s="12">
        <v>0.09</v>
      </c>
      <c r="K7" s="30">
        <f t="shared" ref="K7" si="1">H7*I7*J7</f>
        <v>1.2150000000000001E-2</v>
      </c>
      <c r="L7" s="50"/>
      <c r="M7" s="51"/>
      <c r="N7" s="51"/>
      <c r="O7" s="51"/>
      <c r="P7" s="33">
        <f t="shared" si="0"/>
        <v>4.8600000000000004E-2</v>
      </c>
    </row>
    <row r="8" spans="1:16" s="1" customFormat="1" ht="63.75" customHeight="1" thickBot="1" x14ac:dyDescent="0.3">
      <c r="A8" s="23"/>
      <c r="B8" s="37">
        <v>3</v>
      </c>
      <c r="C8" s="38" t="s">
        <v>38</v>
      </c>
      <c r="D8" s="39" t="s">
        <v>33</v>
      </c>
      <c r="E8" s="38">
        <v>6</v>
      </c>
      <c r="F8" s="38"/>
      <c r="G8" s="40">
        <v>7047</v>
      </c>
      <c r="H8" s="38">
        <v>7.4999999999999997E-2</v>
      </c>
      <c r="I8" s="38">
        <v>7.4999999999999997E-2</v>
      </c>
      <c r="J8" s="38">
        <v>0.26</v>
      </c>
      <c r="K8" s="41">
        <f>H8*I8*J8</f>
        <v>1.4625E-3</v>
      </c>
      <c r="L8" s="52">
        <v>3</v>
      </c>
      <c r="M8" s="12">
        <f>L8*E8</f>
        <v>18</v>
      </c>
      <c r="N8" s="12"/>
      <c r="O8" s="12">
        <f t="shared" ref="O8:O28" si="2">N8*E8</f>
        <v>0</v>
      </c>
      <c r="P8" s="33">
        <f t="shared" si="0"/>
        <v>8.7749999999999998E-3</v>
      </c>
    </row>
    <row r="9" spans="1:16" ht="16.5" thickBot="1" x14ac:dyDescent="0.3">
      <c r="A9" s="25"/>
      <c r="B9" s="86" t="s">
        <v>26</v>
      </c>
      <c r="C9" s="87"/>
      <c r="D9" s="87"/>
      <c r="E9" s="87"/>
      <c r="F9" s="87"/>
      <c r="G9" s="87"/>
      <c r="H9" s="87"/>
      <c r="I9" s="87"/>
      <c r="J9" s="87"/>
      <c r="K9" s="88"/>
      <c r="L9" s="50"/>
      <c r="M9" s="12">
        <f t="shared" ref="M9:M28" si="3">L9*E9</f>
        <v>0</v>
      </c>
      <c r="N9" s="51"/>
      <c r="O9" s="12">
        <f t="shared" si="2"/>
        <v>0</v>
      </c>
      <c r="P9" s="33">
        <f t="shared" si="0"/>
        <v>0</v>
      </c>
    </row>
    <row r="10" spans="1:16" s="1" customFormat="1" ht="24.75" customHeight="1" x14ac:dyDescent="0.25">
      <c r="A10" s="92" t="s">
        <v>21</v>
      </c>
      <c r="B10" s="43">
        <v>4</v>
      </c>
      <c r="C10" s="56" t="s">
        <v>39</v>
      </c>
      <c r="D10" s="56" t="s">
        <v>27</v>
      </c>
      <c r="E10" s="57">
        <v>4</v>
      </c>
      <c r="F10" s="58"/>
      <c r="G10" s="61">
        <v>3020</v>
      </c>
      <c r="H10" s="59">
        <v>1.5</v>
      </c>
      <c r="I10" s="59">
        <v>0.03</v>
      </c>
      <c r="J10" s="59">
        <v>0.09</v>
      </c>
      <c r="K10" s="70">
        <f t="shared" ref="K10:K12" si="4">H10*I10*J10</f>
        <v>4.0499999999999998E-3</v>
      </c>
      <c r="L10" s="49">
        <v>2</v>
      </c>
      <c r="M10" s="12">
        <f t="shared" si="3"/>
        <v>8</v>
      </c>
      <c r="N10" s="33"/>
      <c r="O10" s="12">
        <f t="shared" si="2"/>
        <v>0</v>
      </c>
      <c r="P10" s="33">
        <f t="shared" si="0"/>
        <v>1.6199999999999999E-2</v>
      </c>
    </row>
    <row r="11" spans="1:16" s="1" customFormat="1" ht="24.75" customHeight="1" x14ac:dyDescent="0.25">
      <c r="A11" s="93"/>
      <c r="B11" s="11">
        <v>5</v>
      </c>
      <c r="C11" s="56" t="s">
        <v>39</v>
      </c>
      <c r="D11" s="56" t="s">
        <v>28</v>
      </c>
      <c r="E11" s="57">
        <v>4</v>
      </c>
      <c r="F11" s="58"/>
      <c r="G11" s="62">
        <v>5017</v>
      </c>
      <c r="H11" s="59">
        <v>1.5</v>
      </c>
      <c r="I11" s="59">
        <v>0.03</v>
      </c>
      <c r="J11" s="59">
        <v>0.09</v>
      </c>
      <c r="K11" s="70">
        <f t="shared" si="4"/>
        <v>4.0499999999999998E-3</v>
      </c>
      <c r="L11" s="49">
        <v>2</v>
      </c>
      <c r="M11" s="12">
        <f t="shared" si="3"/>
        <v>8</v>
      </c>
      <c r="N11" s="33"/>
      <c r="O11" s="12">
        <f t="shared" si="2"/>
        <v>0</v>
      </c>
      <c r="P11" s="33">
        <f t="shared" si="0"/>
        <v>1.6199999999999999E-2</v>
      </c>
    </row>
    <row r="12" spans="1:16" s="1" customFormat="1" ht="24.75" customHeight="1" x14ac:dyDescent="0.25">
      <c r="A12" s="93"/>
      <c r="B12" s="11">
        <v>6</v>
      </c>
      <c r="C12" s="56" t="s">
        <v>39</v>
      </c>
      <c r="D12" s="56" t="s">
        <v>29</v>
      </c>
      <c r="E12" s="57">
        <v>4</v>
      </c>
      <c r="F12" s="58"/>
      <c r="G12" s="60">
        <v>1023</v>
      </c>
      <c r="H12" s="59">
        <v>1.5</v>
      </c>
      <c r="I12" s="59">
        <v>0.03</v>
      </c>
      <c r="J12" s="59">
        <v>0.09</v>
      </c>
      <c r="K12" s="70">
        <f t="shared" si="4"/>
        <v>4.0499999999999998E-3</v>
      </c>
      <c r="L12" s="49">
        <v>2</v>
      </c>
      <c r="M12" s="12">
        <f t="shared" si="3"/>
        <v>8</v>
      </c>
      <c r="N12" s="33"/>
      <c r="O12" s="12">
        <f t="shared" si="2"/>
        <v>0</v>
      </c>
      <c r="P12" s="33">
        <f t="shared" si="0"/>
        <v>1.6199999999999999E-2</v>
      </c>
    </row>
    <row r="13" spans="1:16" s="1" customFormat="1" ht="24.75" customHeight="1" thickBot="1" x14ac:dyDescent="0.3">
      <c r="A13" s="93"/>
      <c r="B13" s="11">
        <v>5</v>
      </c>
      <c r="C13" s="56"/>
      <c r="D13" s="56" t="s">
        <v>30</v>
      </c>
      <c r="E13" s="57">
        <v>4</v>
      </c>
      <c r="F13" s="58"/>
      <c r="G13" s="62">
        <v>5017</v>
      </c>
      <c r="H13" s="59">
        <v>0.2</v>
      </c>
      <c r="I13" s="59">
        <v>0.03</v>
      </c>
      <c r="J13" s="59">
        <v>0.09</v>
      </c>
      <c r="K13" s="70">
        <f t="shared" ref="K13" si="5">H13*I13*J13</f>
        <v>5.4000000000000001E-4</v>
      </c>
      <c r="L13" s="49">
        <v>2</v>
      </c>
      <c r="M13" s="12">
        <f t="shared" ref="M13" si="6">L13*E13</f>
        <v>8</v>
      </c>
      <c r="N13" s="33"/>
      <c r="O13" s="12">
        <f t="shared" ref="O13" si="7">N13*E13</f>
        <v>0</v>
      </c>
      <c r="P13" s="33">
        <f t="shared" ref="P13" si="8">K13*E13</f>
        <v>2.16E-3</v>
      </c>
    </row>
    <row r="14" spans="1:16" ht="16.5" thickBot="1" x14ac:dyDescent="0.3">
      <c r="A14" s="93"/>
      <c r="B14" s="86" t="s">
        <v>15</v>
      </c>
      <c r="C14" s="87"/>
      <c r="D14" s="87"/>
      <c r="E14" s="87"/>
      <c r="F14" s="87"/>
      <c r="G14" s="87"/>
      <c r="H14" s="87"/>
      <c r="I14" s="87"/>
      <c r="J14" s="87"/>
      <c r="K14" s="88"/>
      <c r="L14" s="50"/>
      <c r="M14" s="12">
        <f t="shared" ref="M14" si="9">L14*E14</f>
        <v>0</v>
      </c>
      <c r="N14" s="51"/>
      <c r="O14" s="12">
        <f t="shared" ref="O14" si="10">N14*E14</f>
        <v>0</v>
      </c>
      <c r="P14" s="33">
        <f t="shared" ref="P14" si="11">K14*E14</f>
        <v>0</v>
      </c>
    </row>
    <row r="15" spans="1:16" s="1" customFormat="1" ht="51" customHeight="1" x14ac:dyDescent="0.25">
      <c r="A15" s="93"/>
      <c r="B15" s="11">
        <v>7</v>
      </c>
      <c r="C15" s="63" t="s">
        <v>42</v>
      </c>
      <c r="D15" s="28" t="s">
        <v>56</v>
      </c>
      <c r="E15" s="28">
        <v>1</v>
      </c>
      <c r="F15" s="28"/>
      <c r="G15" s="64">
        <v>3020</v>
      </c>
      <c r="H15" s="28">
        <v>1.5</v>
      </c>
      <c r="I15" s="28">
        <v>0.48</v>
      </c>
      <c r="J15" s="28">
        <v>1.2E-2</v>
      </c>
      <c r="K15" s="65">
        <f t="shared" ref="K15:K21" si="12">H15*I15*J15</f>
        <v>8.6400000000000001E-3</v>
      </c>
      <c r="L15" s="49">
        <v>4</v>
      </c>
      <c r="M15" s="12">
        <f t="shared" si="3"/>
        <v>4</v>
      </c>
      <c r="N15" s="33"/>
      <c r="O15" s="12">
        <f t="shared" si="2"/>
        <v>0</v>
      </c>
      <c r="P15" s="33">
        <f t="shared" si="0"/>
        <v>8.6400000000000001E-3</v>
      </c>
    </row>
    <row r="16" spans="1:16" s="1" customFormat="1" ht="75" customHeight="1" x14ac:dyDescent="0.25">
      <c r="A16" s="93"/>
      <c r="B16" s="11">
        <v>8</v>
      </c>
      <c r="C16" s="63" t="s">
        <v>43</v>
      </c>
      <c r="D16" s="28" t="s">
        <v>57</v>
      </c>
      <c r="E16" s="28">
        <v>2</v>
      </c>
      <c r="F16" s="28"/>
      <c r="G16" s="36">
        <v>1023</v>
      </c>
      <c r="H16" s="28">
        <v>0.7</v>
      </c>
      <c r="I16" s="28">
        <v>0.48</v>
      </c>
      <c r="J16" s="28">
        <v>1.2E-2</v>
      </c>
      <c r="K16" s="65">
        <f t="shared" si="12"/>
        <v>4.032E-3</v>
      </c>
      <c r="L16" s="49">
        <v>4</v>
      </c>
      <c r="M16" s="12">
        <f t="shared" si="3"/>
        <v>8</v>
      </c>
      <c r="N16" s="33"/>
      <c r="O16" s="12">
        <f t="shared" si="2"/>
        <v>0</v>
      </c>
      <c r="P16" s="33">
        <f t="shared" si="0"/>
        <v>8.064E-3</v>
      </c>
    </row>
    <row r="17" spans="1:16" s="1" customFormat="1" ht="91.5" customHeight="1" x14ac:dyDescent="0.25">
      <c r="A17" s="93"/>
      <c r="B17" s="11">
        <v>9</v>
      </c>
      <c r="C17" s="63" t="s">
        <v>44</v>
      </c>
      <c r="D17" s="28" t="s">
        <v>58</v>
      </c>
      <c r="E17" s="28">
        <v>1</v>
      </c>
      <c r="F17" s="28"/>
      <c r="G17" s="64">
        <v>3020</v>
      </c>
      <c r="H17" s="28">
        <v>1.66</v>
      </c>
      <c r="I17" s="28">
        <v>0.78</v>
      </c>
      <c r="J17" s="28">
        <v>1.4999999999999999E-2</v>
      </c>
      <c r="K17" s="65">
        <f t="shared" si="12"/>
        <v>1.9421999999999998E-2</v>
      </c>
      <c r="L17" s="49"/>
      <c r="M17" s="12">
        <f t="shared" si="3"/>
        <v>0</v>
      </c>
      <c r="N17" s="33"/>
      <c r="O17" s="12">
        <f t="shared" si="2"/>
        <v>0</v>
      </c>
      <c r="P17" s="33">
        <f t="shared" si="0"/>
        <v>1.9421999999999998E-2</v>
      </c>
    </row>
    <row r="18" spans="1:16" s="1" customFormat="1" ht="84" customHeight="1" x14ac:dyDescent="0.25">
      <c r="A18" s="93"/>
      <c r="B18" s="11">
        <v>10</v>
      </c>
      <c r="C18" s="63" t="s">
        <v>45</v>
      </c>
      <c r="D18" s="28" t="s">
        <v>59</v>
      </c>
      <c r="E18" s="28">
        <v>1</v>
      </c>
      <c r="F18" s="28"/>
      <c r="G18" s="64">
        <v>3020</v>
      </c>
      <c r="H18" s="28">
        <v>1.66</v>
      </c>
      <c r="I18" s="28">
        <v>0.88</v>
      </c>
      <c r="J18" s="28">
        <v>1.4999999999999999E-2</v>
      </c>
      <c r="K18" s="65">
        <f t="shared" si="12"/>
        <v>2.1911999999999997E-2</v>
      </c>
      <c r="L18" s="49">
        <v>2</v>
      </c>
      <c r="M18" s="12">
        <f t="shared" si="3"/>
        <v>2</v>
      </c>
      <c r="N18" s="33"/>
      <c r="O18" s="12">
        <f t="shared" si="2"/>
        <v>0</v>
      </c>
      <c r="P18" s="33">
        <f t="shared" si="0"/>
        <v>2.1911999999999997E-2</v>
      </c>
    </row>
    <row r="19" spans="1:16" s="1" customFormat="1" ht="75.75" customHeight="1" x14ac:dyDescent="0.25">
      <c r="A19" s="93"/>
      <c r="B19" s="11">
        <v>11</v>
      </c>
      <c r="C19" s="63" t="s">
        <v>46</v>
      </c>
      <c r="D19" s="28" t="s">
        <v>60</v>
      </c>
      <c r="E19" s="28">
        <v>2</v>
      </c>
      <c r="F19" s="28"/>
      <c r="G19" s="36">
        <v>1023</v>
      </c>
      <c r="H19" s="28">
        <v>1.589</v>
      </c>
      <c r="I19" s="28">
        <v>0.7</v>
      </c>
      <c r="J19" s="28">
        <v>1.2E-2</v>
      </c>
      <c r="K19" s="65">
        <f t="shared" si="12"/>
        <v>1.3347599999999998E-2</v>
      </c>
      <c r="L19" s="49">
        <v>4</v>
      </c>
      <c r="M19" s="12">
        <f t="shared" si="3"/>
        <v>8</v>
      </c>
      <c r="N19" s="33"/>
      <c r="O19" s="12">
        <f t="shared" si="2"/>
        <v>0</v>
      </c>
      <c r="P19" s="33">
        <f t="shared" si="0"/>
        <v>2.6695199999999995E-2</v>
      </c>
    </row>
    <row r="20" spans="1:16" s="1" customFormat="1" ht="89.25" customHeight="1" x14ac:dyDescent="0.25">
      <c r="A20" s="93"/>
      <c r="B20" s="11">
        <v>12</v>
      </c>
      <c r="C20" s="63" t="s">
        <v>47</v>
      </c>
      <c r="D20" s="28" t="s">
        <v>40</v>
      </c>
      <c r="E20" s="28">
        <v>2</v>
      </c>
      <c r="F20" s="28"/>
      <c r="G20" s="66">
        <v>5017</v>
      </c>
      <c r="H20" s="28">
        <v>0.98399999999999999</v>
      </c>
      <c r="I20" s="28">
        <v>0.8</v>
      </c>
      <c r="J20" s="28">
        <v>1.2E-2</v>
      </c>
      <c r="K20" s="65">
        <f t="shared" si="12"/>
        <v>9.4464000000000006E-3</v>
      </c>
      <c r="L20" s="49"/>
      <c r="M20" s="12">
        <f t="shared" si="3"/>
        <v>0</v>
      </c>
      <c r="N20" s="33"/>
      <c r="O20" s="12">
        <f t="shared" si="2"/>
        <v>0</v>
      </c>
      <c r="P20" s="33">
        <f t="shared" si="0"/>
        <v>1.8892800000000001E-2</v>
      </c>
    </row>
    <row r="21" spans="1:16" s="1" customFormat="1" ht="80.25" customHeight="1" x14ac:dyDescent="0.25">
      <c r="A21" s="67"/>
      <c r="B21" s="11">
        <v>13</v>
      </c>
      <c r="C21" s="63" t="s">
        <v>48</v>
      </c>
      <c r="D21" s="28" t="s">
        <v>41</v>
      </c>
      <c r="E21" s="28">
        <v>1</v>
      </c>
      <c r="F21" s="28"/>
      <c r="G21" s="66">
        <v>5017</v>
      </c>
      <c r="H21" s="28">
        <v>1.6</v>
      </c>
      <c r="I21" s="28">
        <v>1.2270000000000001</v>
      </c>
      <c r="J21" s="28">
        <v>1.2E-2</v>
      </c>
      <c r="K21" s="65">
        <f t="shared" si="12"/>
        <v>2.3558400000000004E-2</v>
      </c>
      <c r="L21" s="49"/>
      <c r="M21" s="12">
        <f t="shared" si="3"/>
        <v>0</v>
      </c>
      <c r="N21" s="33"/>
      <c r="O21" s="12"/>
      <c r="P21" s="33">
        <f t="shared" si="0"/>
        <v>2.3558400000000004E-2</v>
      </c>
    </row>
    <row r="22" spans="1:16" s="1" customFormat="1" ht="69.75" customHeight="1" x14ac:dyDescent="0.2">
      <c r="A22" s="68"/>
      <c r="B22" s="11">
        <v>13</v>
      </c>
      <c r="C22" s="12" t="s">
        <v>49</v>
      </c>
      <c r="D22" s="17" t="s">
        <v>12</v>
      </c>
      <c r="E22" s="12">
        <v>18</v>
      </c>
      <c r="F22" s="12"/>
      <c r="G22" s="16">
        <v>7047</v>
      </c>
      <c r="H22" s="12">
        <v>0.05</v>
      </c>
      <c r="I22" s="12">
        <v>0.05</v>
      </c>
      <c r="J22" s="12">
        <v>0.03</v>
      </c>
      <c r="K22" s="42">
        <f t="shared" ref="K22:K23" si="13">H22*I22*J22</f>
        <v>7.5000000000000007E-5</v>
      </c>
      <c r="L22" s="52"/>
      <c r="M22" s="12">
        <f t="shared" si="3"/>
        <v>0</v>
      </c>
      <c r="N22" s="12">
        <v>2</v>
      </c>
      <c r="O22" s="12">
        <f t="shared" si="2"/>
        <v>36</v>
      </c>
      <c r="P22" s="33">
        <f t="shared" si="0"/>
        <v>1.3500000000000001E-3</v>
      </c>
    </row>
    <row r="23" spans="1:16" s="1" customFormat="1" ht="81" customHeight="1" thickBot="1" x14ac:dyDescent="0.3">
      <c r="A23" s="69"/>
      <c r="B23" s="18">
        <v>14</v>
      </c>
      <c r="C23" s="13" t="s">
        <v>50</v>
      </c>
      <c r="D23" s="14" t="s">
        <v>23</v>
      </c>
      <c r="E23" s="13">
        <v>3</v>
      </c>
      <c r="F23"/>
      <c r="G23" s="85" t="s">
        <v>51</v>
      </c>
      <c r="H23" s="13">
        <v>0.1</v>
      </c>
      <c r="I23" s="13">
        <v>3.5000000000000003E-2</v>
      </c>
      <c r="J23" s="13">
        <v>0.01</v>
      </c>
      <c r="K23" s="24">
        <f t="shared" si="13"/>
        <v>3.5000000000000004E-5</v>
      </c>
      <c r="L23" s="52"/>
      <c r="M23" s="12">
        <f t="shared" si="3"/>
        <v>0</v>
      </c>
      <c r="N23" s="12"/>
      <c r="O23" s="12">
        <f t="shared" si="2"/>
        <v>0</v>
      </c>
      <c r="P23" s="33">
        <f t="shared" si="0"/>
        <v>1.05E-4</v>
      </c>
    </row>
    <row r="24" spans="1:16" s="1" customFormat="1" ht="25.5" customHeight="1" thickBot="1" x14ac:dyDescent="0.25">
      <c r="A24" s="25"/>
      <c r="B24" s="89" t="s">
        <v>24</v>
      </c>
      <c r="C24" s="90"/>
      <c r="D24" s="90"/>
      <c r="E24" s="90"/>
      <c r="F24" s="90"/>
      <c r="G24" s="90"/>
      <c r="H24" s="90"/>
      <c r="I24" s="90"/>
      <c r="J24" s="90"/>
      <c r="K24" s="91"/>
      <c r="L24" s="52"/>
      <c r="M24" s="12">
        <f t="shared" si="3"/>
        <v>0</v>
      </c>
      <c r="N24" s="12"/>
      <c r="O24" s="12">
        <f t="shared" si="2"/>
        <v>0</v>
      </c>
      <c r="P24" s="33">
        <f t="shared" si="0"/>
        <v>0</v>
      </c>
    </row>
    <row r="25" spans="1:16" s="1" customFormat="1" ht="97.5" customHeight="1" thickBot="1" x14ac:dyDescent="0.3">
      <c r="B25" s="83">
        <v>15</v>
      </c>
      <c r="C25" s="72" t="s">
        <v>55</v>
      </c>
      <c r="D25" s="73" t="s">
        <v>54</v>
      </c>
      <c r="E25" s="71">
        <v>2</v>
      </c>
      <c r="F25" s="71"/>
      <c r="G25" s="74">
        <v>7047</v>
      </c>
      <c r="H25" s="71">
        <v>1.02</v>
      </c>
      <c r="I25" s="71">
        <v>0.06</v>
      </c>
      <c r="J25" s="75">
        <v>0.21</v>
      </c>
      <c r="K25" s="76">
        <f>H25*I25*J25</f>
        <v>1.2851999999999999E-2</v>
      </c>
      <c r="L25" s="53"/>
      <c r="M25" s="12">
        <f t="shared" si="3"/>
        <v>0</v>
      </c>
      <c r="N25" s="33">
        <v>4</v>
      </c>
      <c r="O25" s="12">
        <f t="shared" si="2"/>
        <v>8</v>
      </c>
      <c r="P25" s="33">
        <f t="shared" si="0"/>
        <v>2.5703999999999998E-2</v>
      </c>
    </row>
    <row r="26" spans="1:16" s="1" customFormat="1" ht="25.5" customHeight="1" thickBot="1" x14ac:dyDescent="0.25">
      <c r="A26" s="25"/>
      <c r="B26" s="89" t="s">
        <v>22</v>
      </c>
      <c r="C26" s="90"/>
      <c r="D26" s="90"/>
      <c r="E26" s="90"/>
      <c r="F26" s="90"/>
      <c r="G26" s="90"/>
      <c r="H26" s="90"/>
      <c r="I26" s="90"/>
      <c r="J26" s="90"/>
      <c r="K26" s="91"/>
      <c r="L26" s="52"/>
      <c r="M26" s="12">
        <f t="shared" si="3"/>
        <v>0</v>
      </c>
      <c r="N26" s="12"/>
      <c r="O26" s="12">
        <f t="shared" si="2"/>
        <v>0</v>
      </c>
      <c r="P26" s="33">
        <f t="shared" si="0"/>
        <v>0</v>
      </c>
    </row>
    <row r="27" spans="1:16" ht="58.5" customHeight="1" x14ac:dyDescent="0.25">
      <c r="A27" s="26"/>
      <c r="B27" s="43">
        <v>16</v>
      </c>
      <c r="C27" s="56" t="s">
        <v>52</v>
      </c>
      <c r="D27" s="48" t="s">
        <v>13</v>
      </c>
      <c r="E27" s="77">
        <v>44</v>
      </c>
      <c r="F27" s="78"/>
      <c r="G27" s="79" t="s">
        <v>25</v>
      </c>
      <c r="H27" s="79">
        <v>2.7E-2</v>
      </c>
      <c r="I27" s="79">
        <v>2.7E-2</v>
      </c>
      <c r="J27" s="79">
        <v>1.6E-2</v>
      </c>
      <c r="K27" s="80">
        <f>H27*I27*J27</f>
        <v>1.1663999999999999E-5</v>
      </c>
      <c r="L27" s="50"/>
      <c r="M27" s="12">
        <f t="shared" si="3"/>
        <v>0</v>
      </c>
      <c r="N27" s="51"/>
      <c r="O27" s="12">
        <f t="shared" si="2"/>
        <v>0</v>
      </c>
      <c r="P27" s="33">
        <f t="shared" si="0"/>
        <v>5.1321599999999993E-4</v>
      </c>
    </row>
    <row r="28" spans="1:16" ht="73.5" customHeight="1" thickBot="1" x14ac:dyDescent="0.3">
      <c r="A28" s="26"/>
      <c r="B28" s="18">
        <v>17</v>
      </c>
      <c r="C28" s="56" t="s">
        <v>53</v>
      </c>
      <c r="D28" s="14" t="s">
        <v>14</v>
      </c>
      <c r="E28" s="84">
        <v>72</v>
      </c>
      <c r="F28" s="34"/>
      <c r="G28" s="81" t="s">
        <v>25</v>
      </c>
      <c r="H28" s="81">
        <v>3.5999999999999997E-2</v>
      </c>
      <c r="I28" s="81">
        <v>3.5999999999999997E-2</v>
      </c>
      <c r="J28" s="81">
        <v>2.3E-2</v>
      </c>
      <c r="K28" s="82">
        <f>H28*I28*J28</f>
        <v>2.9807999999999996E-5</v>
      </c>
      <c r="L28" s="50"/>
      <c r="M28" s="12">
        <f t="shared" si="3"/>
        <v>0</v>
      </c>
      <c r="N28" s="51"/>
      <c r="O28" s="12">
        <f t="shared" si="2"/>
        <v>0</v>
      </c>
      <c r="P28" s="33">
        <f t="shared" si="0"/>
        <v>2.1461759999999996E-3</v>
      </c>
    </row>
    <row r="29" spans="1:16" x14ac:dyDescent="0.25">
      <c r="M29">
        <f>SUM(M8:M28)</f>
        <v>72</v>
      </c>
      <c r="O29">
        <f>SUM(O8:O28)</f>
        <v>44</v>
      </c>
      <c r="P29">
        <f>SUM(P6:P28)</f>
        <v>0.2699977919999999</v>
      </c>
    </row>
  </sheetData>
  <mergeCells count="9">
    <mergeCell ref="B9:K9"/>
    <mergeCell ref="B26:K26"/>
    <mergeCell ref="A10:A20"/>
    <mergeCell ref="A1:K1"/>
    <mergeCell ref="B5:K5"/>
    <mergeCell ref="B3:K3"/>
    <mergeCell ref="B2:K2"/>
    <mergeCell ref="B24:K24"/>
    <mergeCell ref="B14:K14"/>
  </mergeCells>
  <phoneticPr fontId="15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Андрей Иванов</cp:lastModifiedBy>
  <dcterms:created xsi:type="dcterms:W3CDTF">2017-04-27T07:18:00Z</dcterms:created>
  <dcterms:modified xsi:type="dcterms:W3CDTF">2024-02-11T18:03:46Z</dcterms:modified>
</cp:coreProperties>
</file>