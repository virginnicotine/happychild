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C83F4D14-ADD4-44B0-89B0-62B7BAC7D939}" xr6:coauthVersionLast="47" xr6:coauthVersionMax="47" xr10:uidLastSave="{00000000-0000-0000-0000-000000000000}"/>
  <bookViews>
    <workbookView minimized="1" xWindow="3225" yWindow="3075" windowWidth="24360" windowHeight="15765" xr2:uid="{00000000-000D-0000-FFFF-FFFF00000000}"/>
  </bookViews>
  <sheets>
    <sheet name="Спецификация" sheetId="4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4" l="1"/>
  <c r="E26" i="4" s="1"/>
  <c r="E23" i="4"/>
  <c r="E25" i="4" s="1"/>
  <c r="K18" i="4"/>
  <c r="K13" i="4"/>
  <c r="K12" i="4"/>
  <c r="K11" i="4"/>
  <c r="K10" i="4"/>
  <c r="K9" i="4"/>
  <c r="K8" i="4"/>
  <c r="K7" i="4"/>
  <c r="K14" i="4"/>
  <c r="K5" i="4"/>
  <c r="K17" i="4" l="1"/>
  <c r="K6" i="4"/>
</calcChain>
</file>

<file path=xl/sharedStrings.xml><?xml version="1.0" encoding="utf-8"?>
<sst xmlns="http://schemas.openxmlformats.org/spreadsheetml/2006/main" count="55" uniqueCount="54">
  <si>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</si>
  <si>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</si>
  <si>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</si>
  <si>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</si>
  <si>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</si>
  <si>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</si>
  <si>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</si>
  <si>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</si>
  <si>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</si>
  <si>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</si>
  <si>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Цвет, RAL черный</t>
  </si>
  <si>
    <t>0003МП</t>
  </si>
  <si>
    <t>Стандартные изделия</t>
  </si>
  <si>
    <t>Колпачок пластиковый составной М6-27</t>
  </si>
  <si>
    <t>6</t>
  </si>
  <si>
    <t>7</t>
  </si>
  <si>
    <t>Шайба М8 плоская</t>
  </si>
  <si>
    <t>Гайка М6 шестигранная</t>
  </si>
  <si>
    <t>3</t>
  </si>
  <si>
    <t>4</t>
  </si>
  <si>
    <t>5</t>
  </si>
  <si>
    <t>ПСР-1.53.Н</t>
  </si>
  <si>
    <t>0002МП</t>
  </si>
  <si>
    <t>Закладная для песочницы (уголок 50х50х500)</t>
  </si>
  <si>
    <t>0001МП</t>
  </si>
  <si>
    <t>Ручка песочницы ПСР-1.04</t>
  </si>
  <si>
    <t>Уголок 55x55x40</t>
  </si>
  <si>
    <t>Борт верхний (песочницы)_ПНД</t>
  </si>
  <si>
    <t>Борт боковой (песочницы)_ПНД</t>
  </si>
  <si>
    <t>Соединитель бортов (песочницы)_ПНД</t>
  </si>
  <si>
    <t>000002_П</t>
  </si>
  <si>
    <t>000003_П</t>
  </si>
  <si>
    <t>000004_П</t>
  </si>
  <si>
    <t>000005_П</t>
  </si>
  <si>
    <t>Столик угловой (песочницы)_ПНД</t>
  </si>
  <si>
    <t>002172_П</t>
  </si>
  <si>
    <t>Крышка песочницы ПСР-1.53 с выбокой "дубовый лист" (1590х875)</t>
  </si>
  <si>
    <t>002173_П</t>
  </si>
  <si>
    <t>Ежик песочницы ПСР-1.53 (741х314)</t>
  </si>
  <si>
    <t>0004МП</t>
  </si>
  <si>
    <t>Подпорка головы (песочница-букашка)</t>
  </si>
  <si>
    <t>3,5х25 Саморез по г/к окс.круп.резьба</t>
  </si>
  <si>
    <t>Петля карточная BF 2 (50 мм) СР Хром</t>
  </si>
  <si>
    <t>Болт мебельный М6х55 DIN607</t>
  </si>
  <si>
    <t>8</t>
  </si>
  <si>
    <t>9</t>
  </si>
  <si>
    <t>10</t>
  </si>
  <si>
    <t>СБОРОЧНЫЕ ЕДИНИЦЫ</t>
  </si>
  <si>
    <t>ПОКУПНЫЕ ИЗДЕЛИЯ</t>
  </si>
  <si>
    <t>Болт М6х40 мебельный с полукр.гол. и усом</t>
  </si>
  <si>
    <t>Шайба М6 увел.</t>
  </si>
  <si>
    <t>Болт мебельный М8х55 DIN607</t>
  </si>
  <si>
    <t>Колпачок пластиковый составной М8-32</t>
  </si>
  <si>
    <t>Гайка М8 шестигранная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</si>
</sst>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33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textRotation="90" wrapText="1"/>
    </xf>
    <xf numFmtId="49" fontId="2" fillId="0" borderId="24" xfId="0" applyNumberFormat="1" applyFont="1" applyBorder="1" applyAlignment="1">
      <alignment horizontal="center" vertical="center" wrapText="1"/>
    </xf>
    <xf numFmtId="0" fontId="2" fillId="0" borderId="25" xfId="2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DD8CA6C2-F48D-48BB-B2CD-02FB6AE211A9}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16</xdr:row>
      <xdr:rowOff>40822</xdr:rowOff>
    </xdr:from>
    <xdr:to>
      <xdr:col>5</xdr:col>
      <xdr:colOff>1189598</xdr:colOff>
      <xdr:row>16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A11843-654B-42F0-994B-BF45B863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80441347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12548</xdr:colOff>
      <xdr:row>18</xdr:row>
      <xdr:rowOff>240837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6422C6BA-4CD1-463C-9065-F58870C5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12548</xdr:colOff>
      <xdr:row>18</xdr:row>
      <xdr:rowOff>240837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75F02CFA-5C89-4B7F-AFD4-D96467CE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11800</xdr:colOff>
      <xdr:row>17</xdr:row>
      <xdr:rowOff>495825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E63A83EB-C62A-4928-B3EA-225C1747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80400525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8625</xdr:colOff>
      <xdr:row>20</xdr:row>
      <xdr:rowOff>436653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55011314-3E65-4677-94B3-CA0BEA21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8625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62" name="Picture 9">
          <a:extLst>
            <a:ext uri="{FF2B5EF4-FFF2-40B4-BE49-F238E27FC236}">
              <a16:creationId xmlns:a16="http://schemas.microsoft.com/office/drawing/2014/main" id="{96F0965E-5E1D-4C9E-B20B-BF22E82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84" name="Picture 9">
          <a:extLst>
            <a:ext uri="{FF2B5EF4-FFF2-40B4-BE49-F238E27FC236}">
              <a16:creationId xmlns:a16="http://schemas.microsoft.com/office/drawing/2014/main" id="{DE7A8B1C-3BE0-43FD-AB50-C6083327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366907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88" name="Picture 9">
          <a:extLst>
            <a:ext uri="{FF2B5EF4-FFF2-40B4-BE49-F238E27FC236}">
              <a16:creationId xmlns:a16="http://schemas.microsoft.com/office/drawing/2014/main" id="{9A4BD360-0EA3-413E-BE78-673AC99E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90" name="Picture 9">
          <a:extLst>
            <a:ext uri="{FF2B5EF4-FFF2-40B4-BE49-F238E27FC236}">
              <a16:creationId xmlns:a16="http://schemas.microsoft.com/office/drawing/2014/main" id="{14AE575B-4E1C-4FFD-9F02-336570335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92" name="Picture 9">
          <a:extLst>
            <a:ext uri="{FF2B5EF4-FFF2-40B4-BE49-F238E27FC236}">
              <a16:creationId xmlns:a16="http://schemas.microsoft.com/office/drawing/2014/main" id="{05398B97-B25E-4739-98E7-7F8A69B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67851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94" name="Picture 9">
          <a:extLst>
            <a:ext uri="{FF2B5EF4-FFF2-40B4-BE49-F238E27FC236}">
              <a16:creationId xmlns:a16="http://schemas.microsoft.com/office/drawing/2014/main" id="{F5205B19-9FA9-439E-BFD3-00C781CA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97" name="Picture 9">
          <a:extLst>
            <a:ext uri="{FF2B5EF4-FFF2-40B4-BE49-F238E27FC236}">
              <a16:creationId xmlns:a16="http://schemas.microsoft.com/office/drawing/2014/main" id="{2DC144C7-EF29-444F-831A-1F90473F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00" name="Picture 9">
          <a:extLst>
            <a:ext uri="{FF2B5EF4-FFF2-40B4-BE49-F238E27FC236}">
              <a16:creationId xmlns:a16="http://schemas.microsoft.com/office/drawing/2014/main" id="{CFCEEF9D-D1B2-4C19-AE51-847C278D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03" name="Picture 9">
          <a:extLst>
            <a:ext uri="{FF2B5EF4-FFF2-40B4-BE49-F238E27FC236}">
              <a16:creationId xmlns:a16="http://schemas.microsoft.com/office/drawing/2014/main" id="{B8FC7ED7-9BC6-41A4-AB39-A2BF72D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05" name="Picture 9">
          <a:extLst>
            <a:ext uri="{FF2B5EF4-FFF2-40B4-BE49-F238E27FC236}">
              <a16:creationId xmlns:a16="http://schemas.microsoft.com/office/drawing/2014/main" id="{08DA73B5-862E-4F82-B0B2-B9DE42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26</xdr:row>
      <xdr:rowOff>0</xdr:rowOff>
    </xdr:from>
    <xdr:ext cx="7292" cy="237662"/>
    <xdr:pic>
      <xdr:nvPicPr>
        <xdr:cNvPr id="81" name="Picture 9">
          <a:extLst>
            <a:ext uri="{FF2B5EF4-FFF2-40B4-BE49-F238E27FC236}">
              <a16:creationId xmlns:a16="http://schemas.microsoft.com/office/drawing/2014/main" id="{0EBA4BED-439C-49B8-93D8-68C82F7C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26</xdr:row>
      <xdr:rowOff>0</xdr:rowOff>
    </xdr:from>
    <xdr:ext cx="7292" cy="237662"/>
    <xdr:pic>
      <xdr:nvPicPr>
        <xdr:cNvPr id="82" name="Picture 9">
          <a:extLst>
            <a:ext uri="{FF2B5EF4-FFF2-40B4-BE49-F238E27FC236}">
              <a16:creationId xmlns:a16="http://schemas.microsoft.com/office/drawing/2014/main" id="{DAE89F6D-AAC8-4FB7-BD74-9D7B15C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87" name="Picture 9">
          <a:extLst>
            <a:ext uri="{FF2B5EF4-FFF2-40B4-BE49-F238E27FC236}">
              <a16:creationId xmlns:a16="http://schemas.microsoft.com/office/drawing/2014/main" id="{CDC3C0C8-5E8D-4F19-88FE-D43ABDBD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987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95" name="Picture 9">
          <a:extLst>
            <a:ext uri="{FF2B5EF4-FFF2-40B4-BE49-F238E27FC236}">
              <a16:creationId xmlns:a16="http://schemas.microsoft.com/office/drawing/2014/main" id="{F98FE873-A59F-4746-8F84-2180A20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606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85" name="Picture 9">
          <a:extLst>
            <a:ext uri="{FF2B5EF4-FFF2-40B4-BE49-F238E27FC236}">
              <a16:creationId xmlns:a16="http://schemas.microsoft.com/office/drawing/2014/main" id="{3FBEA5E5-7746-4424-ADA7-C2B7A104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091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89" name="Picture 9">
          <a:extLst>
            <a:ext uri="{FF2B5EF4-FFF2-40B4-BE49-F238E27FC236}">
              <a16:creationId xmlns:a16="http://schemas.microsoft.com/office/drawing/2014/main" id="{F376132A-8034-4105-9D5A-42631BFE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96619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93" name="Picture 9">
          <a:extLst>
            <a:ext uri="{FF2B5EF4-FFF2-40B4-BE49-F238E27FC236}">
              <a16:creationId xmlns:a16="http://schemas.microsoft.com/office/drawing/2014/main" id="{CDA350A2-11B6-4815-8232-41F2C42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710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14" name="Picture 9">
          <a:extLst>
            <a:ext uri="{FF2B5EF4-FFF2-40B4-BE49-F238E27FC236}">
              <a16:creationId xmlns:a16="http://schemas.microsoft.com/office/drawing/2014/main" id="{5E1F0C50-7811-475C-871F-A8F5ED3C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16" name="Picture 9">
          <a:extLst>
            <a:ext uri="{FF2B5EF4-FFF2-40B4-BE49-F238E27FC236}">
              <a16:creationId xmlns:a16="http://schemas.microsoft.com/office/drawing/2014/main" id="{5F8C85F3-10B2-4A78-9CC8-5D9AF78D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17" name="Picture 9">
          <a:extLst>
            <a:ext uri="{FF2B5EF4-FFF2-40B4-BE49-F238E27FC236}">
              <a16:creationId xmlns:a16="http://schemas.microsoft.com/office/drawing/2014/main" id="{D0344679-EBA9-4045-9A72-D91AD4B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18" name="Picture 9">
          <a:extLst>
            <a:ext uri="{FF2B5EF4-FFF2-40B4-BE49-F238E27FC236}">
              <a16:creationId xmlns:a16="http://schemas.microsoft.com/office/drawing/2014/main" id="{6326009C-2537-4E79-B425-14BFD2C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19" name="Picture 9">
          <a:extLst>
            <a:ext uri="{FF2B5EF4-FFF2-40B4-BE49-F238E27FC236}">
              <a16:creationId xmlns:a16="http://schemas.microsoft.com/office/drawing/2014/main" id="{88CA9002-C854-412A-B34D-97B2D80F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20" name="Picture 9">
          <a:extLst>
            <a:ext uri="{FF2B5EF4-FFF2-40B4-BE49-F238E27FC236}">
              <a16:creationId xmlns:a16="http://schemas.microsoft.com/office/drawing/2014/main" id="{9D05646C-0E72-4A97-BE90-0E6A668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21" name="Picture 9">
          <a:extLst>
            <a:ext uri="{FF2B5EF4-FFF2-40B4-BE49-F238E27FC236}">
              <a16:creationId xmlns:a16="http://schemas.microsoft.com/office/drawing/2014/main" id="{63B6BE85-872E-4DDE-BAE4-DCFB4A15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8625" cy="1234734"/>
    <xdr:pic>
      <xdr:nvPicPr>
        <xdr:cNvPr id="146" name="Picture 9">
          <a:extLst>
            <a:ext uri="{FF2B5EF4-FFF2-40B4-BE49-F238E27FC236}">
              <a16:creationId xmlns:a16="http://schemas.microsoft.com/office/drawing/2014/main" id="{2CEB56E8-30D8-44E3-9B72-C5F3CF64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4911909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49" name="Picture 9">
          <a:extLst>
            <a:ext uri="{FF2B5EF4-FFF2-40B4-BE49-F238E27FC236}">
              <a16:creationId xmlns:a16="http://schemas.microsoft.com/office/drawing/2014/main" id="{36CA6333-DF1E-434A-A1EE-02829C84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78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51" name="Picture 9">
          <a:extLst>
            <a:ext uri="{FF2B5EF4-FFF2-40B4-BE49-F238E27FC236}">
              <a16:creationId xmlns:a16="http://schemas.microsoft.com/office/drawing/2014/main" id="{EBB93989-9B00-49C2-877F-51222F2F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203546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53" name="Picture 9">
          <a:extLst>
            <a:ext uri="{FF2B5EF4-FFF2-40B4-BE49-F238E27FC236}">
              <a16:creationId xmlns:a16="http://schemas.microsoft.com/office/drawing/2014/main" id="{32B8A2FB-975C-4FAB-B86F-A4C158C5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403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89" name="Picture 9">
          <a:extLst>
            <a:ext uri="{FF2B5EF4-FFF2-40B4-BE49-F238E27FC236}">
              <a16:creationId xmlns:a16="http://schemas.microsoft.com/office/drawing/2014/main" id="{FC7E1746-4196-44D4-8938-17128AF0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0" name="Picture 9">
          <a:extLst>
            <a:ext uri="{FF2B5EF4-FFF2-40B4-BE49-F238E27FC236}">
              <a16:creationId xmlns:a16="http://schemas.microsoft.com/office/drawing/2014/main" id="{D013CCB7-84F0-47ED-883A-BC1A22DB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1" name="Picture 9">
          <a:extLst>
            <a:ext uri="{FF2B5EF4-FFF2-40B4-BE49-F238E27FC236}">
              <a16:creationId xmlns:a16="http://schemas.microsoft.com/office/drawing/2014/main" id="{FD5081C4-BE56-47CD-B66E-28ED426C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2" name="Picture 9">
          <a:extLst>
            <a:ext uri="{FF2B5EF4-FFF2-40B4-BE49-F238E27FC236}">
              <a16:creationId xmlns:a16="http://schemas.microsoft.com/office/drawing/2014/main" id="{F31C1A44-3717-405C-8F36-6F4FE493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3" name="Picture 9">
          <a:extLst>
            <a:ext uri="{FF2B5EF4-FFF2-40B4-BE49-F238E27FC236}">
              <a16:creationId xmlns:a16="http://schemas.microsoft.com/office/drawing/2014/main" id="{9845AA7A-0CB6-49F7-B732-F9D30F10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4" name="Picture 9">
          <a:extLst>
            <a:ext uri="{FF2B5EF4-FFF2-40B4-BE49-F238E27FC236}">
              <a16:creationId xmlns:a16="http://schemas.microsoft.com/office/drawing/2014/main" id="{84C0DFDC-35C0-4133-B998-9FFE76D9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5" name="Picture 9">
          <a:extLst>
            <a:ext uri="{FF2B5EF4-FFF2-40B4-BE49-F238E27FC236}">
              <a16:creationId xmlns:a16="http://schemas.microsoft.com/office/drawing/2014/main" id="{F50C5D16-96B3-4B03-982A-AB10E91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7" name="Picture 9">
          <a:extLst>
            <a:ext uri="{FF2B5EF4-FFF2-40B4-BE49-F238E27FC236}">
              <a16:creationId xmlns:a16="http://schemas.microsoft.com/office/drawing/2014/main" id="{074F2C35-4D38-492D-A6B3-8F4D22FD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8" name="Picture 9">
          <a:extLst>
            <a:ext uri="{FF2B5EF4-FFF2-40B4-BE49-F238E27FC236}">
              <a16:creationId xmlns:a16="http://schemas.microsoft.com/office/drawing/2014/main" id="{7ABB5E8C-1E41-4646-B4DC-8761DBD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199" name="Picture 9">
          <a:extLst>
            <a:ext uri="{FF2B5EF4-FFF2-40B4-BE49-F238E27FC236}">
              <a16:creationId xmlns:a16="http://schemas.microsoft.com/office/drawing/2014/main" id="{0C7A96EF-340A-414A-9FFF-C718C81A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200" name="Picture 9">
          <a:extLst>
            <a:ext uri="{FF2B5EF4-FFF2-40B4-BE49-F238E27FC236}">
              <a16:creationId xmlns:a16="http://schemas.microsoft.com/office/drawing/2014/main" id="{742F9A60-F6A0-4D18-8411-27DE3417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201" name="Picture 9">
          <a:extLst>
            <a:ext uri="{FF2B5EF4-FFF2-40B4-BE49-F238E27FC236}">
              <a16:creationId xmlns:a16="http://schemas.microsoft.com/office/drawing/2014/main" id="{16106060-CB7E-4793-9BB1-DFA821C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202" name="Picture 9">
          <a:extLst>
            <a:ext uri="{FF2B5EF4-FFF2-40B4-BE49-F238E27FC236}">
              <a16:creationId xmlns:a16="http://schemas.microsoft.com/office/drawing/2014/main" id="{ACD06734-197D-43CF-9AE6-5538BE43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15</xdr:row>
      <xdr:rowOff>0</xdr:rowOff>
    </xdr:from>
    <xdr:ext cx="11800" cy="1236052"/>
    <xdr:pic>
      <xdr:nvPicPr>
        <xdr:cNvPr id="203" name="Picture 9">
          <a:extLst>
            <a:ext uri="{FF2B5EF4-FFF2-40B4-BE49-F238E27FC236}">
              <a16:creationId xmlns:a16="http://schemas.microsoft.com/office/drawing/2014/main" id="{EE215C55-2A81-4A53-81F7-51926486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0" name="Picture 9">
          <a:extLst>
            <a:ext uri="{FF2B5EF4-FFF2-40B4-BE49-F238E27FC236}">
              <a16:creationId xmlns:a16="http://schemas.microsoft.com/office/drawing/2014/main" id="{54116B02-ED76-4F1E-9BCB-5EEE1939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2" name="Picture 9">
          <a:extLst>
            <a:ext uri="{FF2B5EF4-FFF2-40B4-BE49-F238E27FC236}">
              <a16:creationId xmlns:a16="http://schemas.microsoft.com/office/drawing/2014/main" id="{2F9E07D0-65AA-43A0-A7B2-F4E87211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3" name="Picture 9">
          <a:extLst>
            <a:ext uri="{FF2B5EF4-FFF2-40B4-BE49-F238E27FC236}">
              <a16:creationId xmlns:a16="http://schemas.microsoft.com/office/drawing/2014/main" id="{F6A67265-9BC0-4136-9697-6AE2D2AA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7" name="Picture 9">
          <a:extLst>
            <a:ext uri="{FF2B5EF4-FFF2-40B4-BE49-F238E27FC236}">
              <a16:creationId xmlns:a16="http://schemas.microsoft.com/office/drawing/2014/main" id="{6CF5F2F6-B110-4668-BE20-CDB3470F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9" name="Picture 9">
          <a:extLst>
            <a:ext uri="{FF2B5EF4-FFF2-40B4-BE49-F238E27FC236}">
              <a16:creationId xmlns:a16="http://schemas.microsoft.com/office/drawing/2014/main" id="{EDA1F8A9-BB94-4C31-BCF4-F2C39BE5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20" name="Picture 9">
          <a:extLst>
            <a:ext uri="{FF2B5EF4-FFF2-40B4-BE49-F238E27FC236}">
              <a16:creationId xmlns:a16="http://schemas.microsoft.com/office/drawing/2014/main" id="{84561001-BAD0-48F3-A3CF-145547DD8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3</xdr:col>
      <xdr:colOff>531092</xdr:colOff>
      <xdr:row>1</xdr:row>
      <xdr:rowOff>94382</xdr:rowOff>
    </xdr:from>
    <xdr:to>
      <xdr:col>8</xdr:col>
      <xdr:colOff>196273</xdr:colOff>
      <xdr:row>1</xdr:row>
      <xdr:rowOff>4832925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9F06F15C-830B-482E-B9D3-4154ABED0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" r="547"/>
        <a:stretch/>
      </xdr:blipFill>
      <xdr:spPr>
        <a:xfrm>
          <a:off x="2459183" y="302200"/>
          <a:ext cx="7677726" cy="4738543"/>
        </a:xfrm>
        <a:prstGeom prst="rect">
          <a:avLst/>
        </a:prstGeom>
      </xdr:spPr>
    </xdr:pic>
    <xdr:clientData/>
  </xdr:twoCellAnchor>
  <xdr:twoCellAnchor>
    <xdr:from>
      <xdr:col>5</xdr:col>
      <xdr:colOff>242454</xdr:colOff>
      <xdr:row>5</xdr:row>
      <xdr:rowOff>80818</xdr:rowOff>
    </xdr:from>
    <xdr:to>
      <xdr:col>5</xdr:col>
      <xdr:colOff>1564562</xdr:colOff>
      <xdr:row>5</xdr:row>
      <xdr:rowOff>1166091</xdr:rowOff>
    </xdr:to>
    <xdr:pic>
      <xdr:nvPicPr>
        <xdr:cNvPr id="63" name="Picture 8">
          <a:extLst>
            <a:ext uri="{FF2B5EF4-FFF2-40B4-BE49-F238E27FC236}">
              <a16:creationId xmlns:a16="http://schemas.microsoft.com/office/drawing/2014/main" id="{93B1E230-5C5B-4E98-BC78-221E53E59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5876636" y="6823363"/>
          <a:ext cx="1322108" cy="1085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429572</xdr:colOff>
      <xdr:row>6</xdr:row>
      <xdr:rowOff>31338</xdr:rowOff>
    </xdr:from>
    <xdr:to>
      <xdr:col>5</xdr:col>
      <xdr:colOff>1240312</xdr:colOff>
      <xdr:row>6</xdr:row>
      <xdr:rowOff>1003076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486AEB1F-5113-4338-BB41-79736BDEE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6063754" y="12581247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5" name="Picture 9">
          <a:extLst>
            <a:ext uri="{FF2B5EF4-FFF2-40B4-BE49-F238E27FC236}">
              <a16:creationId xmlns:a16="http://schemas.microsoft.com/office/drawing/2014/main" id="{F6284130-D29D-4F46-9379-F8BDF73A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6" name="Picture 9">
          <a:extLst>
            <a:ext uri="{FF2B5EF4-FFF2-40B4-BE49-F238E27FC236}">
              <a16:creationId xmlns:a16="http://schemas.microsoft.com/office/drawing/2014/main" id="{ADC61168-B0C0-4648-8FB2-7F9D6DDF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7" name="Picture 9">
          <a:extLst>
            <a:ext uri="{FF2B5EF4-FFF2-40B4-BE49-F238E27FC236}">
              <a16:creationId xmlns:a16="http://schemas.microsoft.com/office/drawing/2014/main" id="{537C2103-9A34-4AAD-B619-D3ED83DC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8" name="Picture 9">
          <a:extLst>
            <a:ext uri="{FF2B5EF4-FFF2-40B4-BE49-F238E27FC236}">
              <a16:creationId xmlns:a16="http://schemas.microsoft.com/office/drawing/2014/main" id="{819274A4-8CD9-481B-9595-942B16E9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9" name="Picture 9">
          <a:extLst>
            <a:ext uri="{FF2B5EF4-FFF2-40B4-BE49-F238E27FC236}">
              <a16:creationId xmlns:a16="http://schemas.microsoft.com/office/drawing/2014/main" id="{C5D6F9E8-1123-4278-BC46-FDE7A968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0" name="Picture 9">
          <a:extLst>
            <a:ext uri="{FF2B5EF4-FFF2-40B4-BE49-F238E27FC236}">
              <a16:creationId xmlns:a16="http://schemas.microsoft.com/office/drawing/2014/main" id="{C8C7335A-8AAD-434A-8C67-102AC9C5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1" name="Picture 9">
          <a:extLst>
            <a:ext uri="{FF2B5EF4-FFF2-40B4-BE49-F238E27FC236}">
              <a16:creationId xmlns:a16="http://schemas.microsoft.com/office/drawing/2014/main" id="{CE9C61C5-D468-48A2-B03B-01DABDB2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2" name="Picture 9">
          <a:extLst>
            <a:ext uri="{FF2B5EF4-FFF2-40B4-BE49-F238E27FC236}">
              <a16:creationId xmlns:a16="http://schemas.microsoft.com/office/drawing/2014/main" id="{4D6D4D9A-DEFE-44CC-9DA3-45813DE6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3" name="Picture 9">
          <a:extLst>
            <a:ext uri="{FF2B5EF4-FFF2-40B4-BE49-F238E27FC236}">
              <a16:creationId xmlns:a16="http://schemas.microsoft.com/office/drawing/2014/main" id="{69CB915A-F254-49AC-81E4-F2ACF7553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4" name="Picture 9">
          <a:extLst>
            <a:ext uri="{FF2B5EF4-FFF2-40B4-BE49-F238E27FC236}">
              <a16:creationId xmlns:a16="http://schemas.microsoft.com/office/drawing/2014/main" id="{372A68BC-DC45-4DF6-A5A0-3F3E9303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5" name="Picture 9">
          <a:extLst>
            <a:ext uri="{FF2B5EF4-FFF2-40B4-BE49-F238E27FC236}">
              <a16:creationId xmlns:a16="http://schemas.microsoft.com/office/drawing/2014/main" id="{546EE6C5-E44F-414D-A601-7982E1A5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6" name="Picture 9">
          <a:extLst>
            <a:ext uri="{FF2B5EF4-FFF2-40B4-BE49-F238E27FC236}">
              <a16:creationId xmlns:a16="http://schemas.microsoft.com/office/drawing/2014/main" id="{C711D47C-492D-4063-A8BC-DA51BA835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86" name="Picture 9">
          <a:extLst>
            <a:ext uri="{FF2B5EF4-FFF2-40B4-BE49-F238E27FC236}">
              <a16:creationId xmlns:a16="http://schemas.microsoft.com/office/drawing/2014/main" id="{EB7083B4-47A0-4062-BE67-083FA5431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1" name="Picture 9">
          <a:extLst>
            <a:ext uri="{FF2B5EF4-FFF2-40B4-BE49-F238E27FC236}">
              <a16:creationId xmlns:a16="http://schemas.microsoft.com/office/drawing/2014/main" id="{A06F25F4-149D-4CB5-8BED-C0DBE661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6" name="Picture 9">
          <a:extLst>
            <a:ext uri="{FF2B5EF4-FFF2-40B4-BE49-F238E27FC236}">
              <a16:creationId xmlns:a16="http://schemas.microsoft.com/office/drawing/2014/main" id="{67103664-1C5D-4484-9C8D-7257C9E4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8" name="Picture 9">
          <a:extLst>
            <a:ext uri="{FF2B5EF4-FFF2-40B4-BE49-F238E27FC236}">
              <a16:creationId xmlns:a16="http://schemas.microsoft.com/office/drawing/2014/main" id="{B769921E-B8F5-4E04-AEED-A17AD732E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9" name="Picture 9">
          <a:extLst>
            <a:ext uri="{FF2B5EF4-FFF2-40B4-BE49-F238E27FC236}">
              <a16:creationId xmlns:a16="http://schemas.microsoft.com/office/drawing/2014/main" id="{61A02BF6-6089-493D-B504-906FFC579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5</xdr:col>
      <xdr:colOff>45599</xdr:colOff>
      <xdr:row>7</xdr:row>
      <xdr:rowOff>235323</xdr:rowOff>
    </xdr:from>
    <xdr:to>
      <xdr:col>5</xdr:col>
      <xdr:colOff>1738386</xdr:colOff>
      <xdr:row>7</xdr:row>
      <xdr:rowOff>437027</xdr:rowOff>
    </xdr:to>
    <xdr:pic>
      <xdr:nvPicPr>
        <xdr:cNvPr id="108" name="Picture 9">
          <a:extLst>
            <a:ext uri="{FF2B5EF4-FFF2-40B4-BE49-F238E27FC236}">
              <a16:creationId xmlns:a16="http://schemas.microsoft.com/office/drawing/2014/main" id="{79ED1313-68CE-4600-A861-0B04B5EF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001774" y="6896473"/>
          <a:ext cx="1692787" cy="1985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92291</xdr:colOff>
      <xdr:row>8</xdr:row>
      <xdr:rowOff>113779</xdr:rowOff>
    </xdr:from>
    <xdr:to>
      <xdr:col>5</xdr:col>
      <xdr:colOff>1525144</xdr:colOff>
      <xdr:row>8</xdr:row>
      <xdr:rowOff>493136</xdr:rowOff>
    </xdr:to>
    <xdr:pic>
      <xdr:nvPicPr>
        <xdr:cNvPr id="110" name="Picture 9">
          <a:extLst>
            <a:ext uri="{FF2B5EF4-FFF2-40B4-BE49-F238E27FC236}">
              <a16:creationId xmlns:a16="http://schemas.microsoft.com/office/drawing/2014/main" id="{2A0B5FAD-EC47-44BC-B489-C22F0FB8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>
          <a:off x="5726473" y="11001143"/>
          <a:ext cx="1432853" cy="379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583367</xdr:colOff>
      <xdr:row>9</xdr:row>
      <xdr:rowOff>123263</xdr:rowOff>
    </xdr:from>
    <xdr:to>
      <xdr:col>5</xdr:col>
      <xdr:colOff>1277470</xdr:colOff>
      <xdr:row>9</xdr:row>
      <xdr:rowOff>627572</xdr:rowOff>
    </xdr:to>
    <xdr:pic>
      <xdr:nvPicPr>
        <xdr:cNvPr id="111" name="Picture 9">
          <a:extLst>
            <a:ext uri="{FF2B5EF4-FFF2-40B4-BE49-F238E27FC236}">
              <a16:creationId xmlns:a16="http://schemas.microsoft.com/office/drawing/2014/main" id="{2673DDE1-4BA0-42DF-8A55-01A28C97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5533192" y="8898963"/>
          <a:ext cx="697278" cy="5011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547855</xdr:colOff>
      <xdr:row>10</xdr:row>
      <xdr:rowOff>44822</xdr:rowOff>
    </xdr:from>
    <xdr:to>
      <xdr:col>5</xdr:col>
      <xdr:colOff>1400735</xdr:colOff>
      <xdr:row>10</xdr:row>
      <xdr:rowOff>902549</xdr:rowOff>
    </xdr:to>
    <xdr:pic>
      <xdr:nvPicPr>
        <xdr:cNvPr id="112" name="Picture 9">
          <a:extLst>
            <a:ext uri="{FF2B5EF4-FFF2-40B4-BE49-F238E27FC236}">
              <a16:creationId xmlns:a16="http://schemas.microsoft.com/office/drawing/2014/main" id="{BB74895A-22C1-40EB-B02C-64D9B291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 bwMode="auto">
        <a:xfrm>
          <a:off x="5497680" y="9525372"/>
          <a:ext cx="852880" cy="857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81643</xdr:colOff>
      <xdr:row>11</xdr:row>
      <xdr:rowOff>68036</xdr:rowOff>
    </xdr:from>
    <xdr:to>
      <xdr:col>5</xdr:col>
      <xdr:colOff>1739839</xdr:colOff>
      <xdr:row>11</xdr:row>
      <xdr:rowOff>1108364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3A157074-3178-44C8-84AA-F5379DADF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825" y="12202309"/>
          <a:ext cx="1658196" cy="1040328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217715</xdr:colOff>
      <xdr:row>12</xdr:row>
      <xdr:rowOff>204108</xdr:rowOff>
    </xdr:from>
    <xdr:to>
      <xdr:col>5</xdr:col>
      <xdr:colOff>1612901</xdr:colOff>
      <xdr:row>12</xdr:row>
      <xdr:rowOff>813206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E1AEC4FD-4AE9-4B66-B68E-F8FD2F98F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50165" y="149524358"/>
          <a:ext cx="1395186" cy="609098"/>
        </a:xfrm>
        <a:prstGeom prst="rect">
          <a:avLst/>
        </a:prstGeom>
      </xdr:spPr>
    </xdr:pic>
    <xdr:clientData/>
  </xdr:twoCellAnchor>
  <xdr:twoCellAnchor editAs="oneCell">
    <xdr:from>
      <xdr:col>5</xdr:col>
      <xdr:colOff>184728</xdr:colOff>
      <xdr:row>13</xdr:row>
      <xdr:rowOff>161636</xdr:rowOff>
    </xdr:from>
    <xdr:to>
      <xdr:col>5</xdr:col>
      <xdr:colOff>1688683</xdr:colOff>
      <xdr:row>13</xdr:row>
      <xdr:rowOff>842817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D8330A1-9F13-481B-A553-24B3BA9F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18910" y="14501091"/>
          <a:ext cx="1503955" cy="681181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17</xdr:row>
      <xdr:rowOff>59531</xdr:rowOff>
    </xdr:from>
    <xdr:to>
      <xdr:col>5</xdr:col>
      <xdr:colOff>1298956</xdr:colOff>
      <xdr:row>17</xdr:row>
      <xdr:rowOff>664648</xdr:rowOff>
    </xdr:to>
    <xdr:pic>
      <xdr:nvPicPr>
        <xdr:cNvPr id="83" name="Picture 2">
          <a:extLst>
            <a:ext uri="{FF2B5EF4-FFF2-40B4-BE49-F238E27FC236}">
              <a16:creationId xmlns:a16="http://schemas.microsoft.com/office/drawing/2014/main" id="{279AF3A2-2B88-4D19-A6EB-FBABC7929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72187" y="16228219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1B88-4DA0-4465-AA6B-B9A12F17C722}">
  <sheetPr codeName="Лист1"/>
  <dimension ref="A1:K28"/>
  <sheetViews>
    <sheetView tabSelected="1" topLeftCell="B1" zoomScale="80" zoomScaleNormal="80" workbookViewId="0">
      <selection activeCell="D15" sqref="D15"/>
    </sheetView>
  </sheetViews>
  <sheetFormatPr defaultColWidth="9.140625" defaultRowHeight="15.75" x14ac:dyDescent="0.25"/>
  <cols>
    <col min="1" max="1" width="6.28515625" style="3" hidden="1" customWidth="1"/>
    <col min="2" max="2" width="7.7109375" style="5" customWidth="1"/>
    <col min="3" max="3" width="19.85546875" style="2" customWidth="1"/>
    <col min="4" max="4" width="41.28515625" style="2" customWidth="1"/>
    <col min="5" max="5" width="11.7109375" style="2" customWidth="1"/>
    <col min="6" max="6" width="26.7109375" style="2" customWidth="1"/>
    <col min="7" max="7" width="24.5703125" style="2" customWidth="1"/>
    <col min="8" max="8" width="10.140625" style="2" customWidth="1"/>
    <col min="9" max="10" width="11.7109375" style="2" customWidth="1"/>
    <col min="11" max="11" width="15.140625" style="6" customWidth="1"/>
    <col min="12" max="16384" width="9.140625" style="3"/>
  </cols>
  <sheetData>
    <row r="1" spans="1:11" ht="16.5" thickBot="1" x14ac:dyDescent="0.3">
      <c r="A1" s="49" t="s">
        <v>21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387" customHeight="1" thickBot="1" x14ac:dyDescent="0.3">
      <c r="A2" s="24"/>
      <c r="B2" s="54"/>
      <c r="C2" s="55"/>
      <c r="D2" s="55"/>
      <c r="E2" s="55"/>
      <c r="F2" s="55"/>
      <c r="G2" s="55"/>
      <c r="H2" s="55"/>
      <c r="I2" s="55"/>
      <c r="J2" s="55"/>
      <c r="K2" s="56"/>
    </row>
    <row r="3" spans="1:11" ht="69" customHeight="1" thickBot="1" x14ac:dyDescent="0.3">
      <c r="A3" s="18"/>
      <c r="B3" s="10" t="s">
        <v>0</v>
      </c>
      <c r="C3" s="8" t="s">
        <v>2</v>
      </c>
      <c r="D3" s="8" t="s">
        <v>1</v>
      </c>
      <c r="E3" s="8" t="s">
        <v>9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11" t="s">
        <v>8</v>
      </c>
    </row>
    <row r="4" spans="1:11" ht="16.5" thickBot="1" x14ac:dyDescent="0.3">
      <c r="A4" s="15"/>
      <c r="B4" s="51" t="s">
        <v>47</v>
      </c>
      <c r="C4" s="52"/>
      <c r="D4" s="52"/>
      <c r="E4" s="52"/>
      <c r="F4" s="52"/>
      <c r="G4" s="52"/>
      <c r="H4" s="52"/>
      <c r="I4" s="52"/>
      <c r="J4" s="52"/>
      <c r="K4" s="53"/>
    </row>
    <row r="5" spans="1:11" s="2" customFormat="1" ht="42" customHeight="1" x14ac:dyDescent="0.25">
      <c r="A5" s="30"/>
      <c r="B5" s="43">
        <v>1</v>
      </c>
      <c r="C5" s="44" t="s">
        <v>22</v>
      </c>
      <c r="D5" s="44" t="s">
        <v>23</v>
      </c>
      <c r="E5" s="26">
        <v>4</v>
      </c>
      <c r="F5" s="26"/>
      <c r="G5" s="34"/>
      <c r="H5" s="26">
        <v>0.3</v>
      </c>
      <c r="I5" s="26">
        <v>0.1</v>
      </c>
      <c r="J5" s="26">
        <v>0.1</v>
      </c>
      <c r="K5" s="31">
        <f t="shared" ref="K5" si="0">H5*I5*J5</f>
        <v>3.0000000000000001E-3</v>
      </c>
    </row>
    <row r="6" spans="1:11" s="2" customFormat="1" ht="98.45" customHeight="1" x14ac:dyDescent="0.25">
      <c r="A6" s="29"/>
      <c r="B6" s="12">
        <v>2</v>
      </c>
      <c r="C6" s="39" t="s">
        <v>24</v>
      </c>
      <c r="D6" s="39" t="s">
        <v>25</v>
      </c>
      <c r="E6" s="1">
        <v>2</v>
      </c>
      <c r="F6" s="1"/>
      <c r="G6" s="40">
        <v>7015</v>
      </c>
      <c r="H6" s="1">
        <v>7.4999999999999997E-2</v>
      </c>
      <c r="I6" s="1">
        <v>7.4999999999999997E-2</v>
      </c>
      <c r="J6" s="1">
        <v>0.26</v>
      </c>
      <c r="K6" s="14">
        <f t="shared" ref="K6" si="1">H6*I6*J6</f>
        <v>1.4625E-3</v>
      </c>
    </row>
    <row r="7" spans="1:11" s="2" customFormat="1" ht="86.25" customHeight="1" thickBot="1" x14ac:dyDescent="0.3">
      <c r="A7" s="41"/>
      <c r="B7" s="45" t="s">
        <v>18</v>
      </c>
      <c r="C7" s="1" t="s">
        <v>11</v>
      </c>
      <c r="D7" s="39" t="s">
        <v>26</v>
      </c>
      <c r="E7" s="1">
        <v>10</v>
      </c>
      <c r="F7" s="1"/>
      <c r="G7" s="40">
        <v>7015</v>
      </c>
      <c r="H7" s="1">
        <v>6.2E-2</v>
      </c>
      <c r="I7" s="1">
        <v>6.2E-2</v>
      </c>
      <c r="J7" s="1">
        <v>0.04</v>
      </c>
      <c r="K7" s="14">
        <f>H7*I7*J7</f>
        <v>1.5375999999999999E-4</v>
      </c>
    </row>
    <row r="8" spans="1:11" s="2" customFormat="1" ht="57.6" customHeight="1" x14ac:dyDescent="0.25">
      <c r="A8" s="42"/>
      <c r="B8" s="45" t="s">
        <v>19</v>
      </c>
      <c r="C8" s="1" t="s">
        <v>31</v>
      </c>
      <c r="D8" s="1" t="s">
        <v>27</v>
      </c>
      <c r="E8" s="1">
        <v>4</v>
      </c>
      <c r="F8" s="35"/>
      <c r="G8" s="28">
        <v>6039</v>
      </c>
      <c r="H8" s="36">
        <v>1.76</v>
      </c>
      <c r="I8" s="36">
        <v>0.14499999999999999</v>
      </c>
      <c r="J8" s="36">
        <v>2.1000000000000001E-2</v>
      </c>
      <c r="K8" s="37">
        <f t="shared" ref="K8:K13" si="2">H8*I8*J8</f>
        <v>5.3591999999999997E-3</v>
      </c>
    </row>
    <row r="9" spans="1:11" s="2" customFormat="1" ht="40.5" customHeight="1" x14ac:dyDescent="0.25">
      <c r="A9" s="42"/>
      <c r="B9" s="45" t="s">
        <v>20</v>
      </c>
      <c r="C9" s="1" t="s">
        <v>32</v>
      </c>
      <c r="D9" s="1" t="s">
        <v>28</v>
      </c>
      <c r="E9" s="1">
        <v>8</v>
      </c>
      <c r="F9" s="35"/>
      <c r="G9" s="9">
        <v>1023</v>
      </c>
      <c r="H9" s="36">
        <v>0.76</v>
      </c>
      <c r="I9" s="36">
        <v>0.224</v>
      </c>
      <c r="J9" s="36">
        <v>2.1000000000000001E-2</v>
      </c>
      <c r="K9" s="37">
        <f t="shared" si="2"/>
        <v>3.5750400000000002E-3</v>
      </c>
    </row>
    <row r="10" spans="1:11" s="2" customFormat="1" ht="57.6" customHeight="1" x14ac:dyDescent="0.25">
      <c r="A10" s="42"/>
      <c r="B10" s="45" t="s">
        <v>14</v>
      </c>
      <c r="C10" s="1" t="s">
        <v>30</v>
      </c>
      <c r="D10" s="1" t="s">
        <v>29</v>
      </c>
      <c r="E10" s="1">
        <v>4</v>
      </c>
      <c r="F10" s="35"/>
      <c r="G10" s="28">
        <v>6039</v>
      </c>
      <c r="H10" s="36">
        <v>0.3</v>
      </c>
      <c r="I10" s="36">
        <v>0.2</v>
      </c>
      <c r="J10" s="36">
        <v>1.4999999999999999E-2</v>
      </c>
      <c r="K10" s="37">
        <f t="shared" si="2"/>
        <v>8.9999999999999998E-4</v>
      </c>
    </row>
    <row r="11" spans="1:11" s="2" customFormat="1" ht="57.6" customHeight="1" x14ac:dyDescent="0.25">
      <c r="A11" s="42"/>
      <c r="B11" s="45" t="s">
        <v>15</v>
      </c>
      <c r="C11" s="1" t="s">
        <v>33</v>
      </c>
      <c r="D11" s="1" t="s">
        <v>34</v>
      </c>
      <c r="E11" s="1">
        <v>4</v>
      </c>
      <c r="F11" s="35"/>
      <c r="G11" s="27">
        <v>6010</v>
      </c>
      <c r="H11" s="36">
        <v>0.41099999999999998</v>
      </c>
      <c r="I11" s="36">
        <v>0.41099999999999998</v>
      </c>
      <c r="J11" s="36">
        <v>1.4999999999999999E-2</v>
      </c>
      <c r="K11" s="37">
        <f t="shared" si="2"/>
        <v>2.5338149999999996E-3</v>
      </c>
    </row>
    <row r="12" spans="1:11" s="2" customFormat="1" ht="95.1" customHeight="1" x14ac:dyDescent="0.25">
      <c r="A12" s="42"/>
      <c r="B12" s="45" t="s">
        <v>44</v>
      </c>
      <c r="C12" s="1" t="s">
        <v>35</v>
      </c>
      <c r="D12" s="1" t="s">
        <v>36</v>
      </c>
      <c r="E12" s="1">
        <v>2</v>
      </c>
      <c r="F12" s="1"/>
      <c r="G12" s="28">
        <v>6039</v>
      </c>
      <c r="H12" s="1">
        <v>1.59</v>
      </c>
      <c r="I12" s="1">
        <v>0.875</v>
      </c>
      <c r="J12" s="1">
        <v>2.1000000000000001E-2</v>
      </c>
      <c r="K12" s="14">
        <f t="shared" si="2"/>
        <v>2.9216250000000003E-2</v>
      </c>
    </row>
    <row r="13" spans="1:11" s="2" customFormat="1" ht="78" customHeight="1" x14ac:dyDescent="0.25">
      <c r="A13" s="42"/>
      <c r="B13" s="45" t="s">
        <v>45</v>
      </c>
      <c r="C13" s="1" t="s">
        <v>37</v>
      </c>
      <c r="D13" s="1" t="s">
        <v>38</v>
      </c>
      <c r="E13" s="1">
        <v>2</v>
      </c>
      <c r="F13" s="1"/>
      <c r="G13" s="38">
        <v>8014</v>
      </c>
      <c r="H13" s="1">
        <v>0.74099999999999999</v>
      </c>
      <c r="I13" s="1">
        <v>0.314</v>
      </c>
      <c r="J13" s="1">
        <v>2.1000000000000001E-2</v>
      </c>
      <c r="K13" s="14">
        <f t="shared" si="2"/>
        <v>4.8861540000000002E-3</v>
      </c>
    </row>
    <row r="14" spans="1:11" s="2" customFormat="1" ht="86.25" customHeight="1" thickBot="1" x14ac:dyDescent="0.3">
      <c r="A14" s="41"/>
      <c r="B14" s="46" t="s">
        <v>46</v>
      </c>
      <c r="C14" s="47" t="s">
        <v>39</v>
      </c>
      <c r="D14" s="7" t="s">
        <v>40</v>
      </c>
      <c r="E14" s="7">
        <v>2</v>
      </c>
      <c r="F14" s="7"/>
      <c r="G14" s="32">
        <v>7015</v>
      </c>
      <c r="H14" s="7">
        <v>6.2E-2</v>
      </c>
      <c r="I14" s="7">
        <v>6.2E-2</v>
      </c>
      <c r="J14" s="7">
        <v>0.04</v>
      </c>
      <c r="K14" s="19">
        <f>H14*I14*J14</f>
        <v>1.5375999999999999E-4</v>
      </c>
    </row>
    <row r="15" spans="1:11" s="2" customFormat="1" ht="86.25" customHeight="1" thickBot="1" x14ac:dyDescent="0.3">
      <c r="A15" s="68"/>
      <c r="B15" s="69"/>
      <c r="C15" s="70"/>
      <c r="D15" s="71"/>
      <c r="E15" s="71"/>
      <c r="F15" s="71"/>
      <c r="G15" s="72"/>
      <c r="H15" s="71"/>
      <c r="I15" s="71"/>
      <c r="J15" s="71"/>
      <c r="K15" s="73"/>
    </row>
    <row r="16" spans="1:11" ht="27" customHeight="1" thickBot="1" x14ac:dyDescent="0.3">
      <c r="A16" s="33"/>
      <c r="B16" s="57" t="s">
        <v>48</v>
      </c>
      <c r="C16" s="58"/>
      <c r="D16" s="58"/>
      <c r="E16" s="58"/>
      <c r="F16" s="58"/>
      <c r="G16" s="58"/>
      <c r="H16" s="58"/>
      <c r="I16" s="58"/>
      <c r="J16" s="58"/>
      <c r="K16" s="59"/>
    </row>
    <row r="17" spans="1:11" ht="58.5" customHeight="1" x14ac:dyDescent="0.25">
      <c r="A17" s="12"/>
      <c r="B17" s="4">
        <v>11</v>
      </c>
      <c r="C17" s="21"/>
      <c r="D17" s="16" t="s">
        <v>13</v>
      </c>
      <c r="E17" s="4">
        <v>90</v>
      </c>
      <c r="F17" s="4"/>
      <c r="G17" s="4" t="s">
        <v>10</v>
      </c>
      <c r="H17" s="4">
        <v>2.7E-2</v>
      </c>
      <c r="I17" s="4">
        <v>2.7E-2</v>
      </c>
      <c r="J17" s="4">
        <v>1.6E-2</v>
      </c>
      <c r="K17" s="13">
        <f t="shared" ref="K17" si="3">H17*I17*J17</f>
        <v>1.1663999999999999E-5</v>
      </c>
    </row>
    <row r="18" spans="1:11" ht="58.5" customHeight="1" thickBot="1" x14ac:dyDescent="0.3">
      <c r="A18" s="63"/>
      <c r="B18" s="64">
        <v>12</v>
      </c>
      <c r="C18" s="65"/>
      <c r="D18" s="16" t="s">
        <v>52</v>
      </c>
      <c r="E18" s="1">
        <v>16</v>
      </c>
      <c r="F18" s="1"/>
      <c r="G18" s="4" t="s">
        <v>10</v>
      </c>
      <c r="H18" s="4">
        <v>3.2000000000000001E-2</v>
      </c>
      <c r="I18" s="4">
        <v>3.2000000000000001E-2</v>
      </c>
      <c r="J18" s="4">
        <v>1.6E-2</v>
      </c>
      <c r="K18" s="13">
        <f t="shared" ref="K18" si="4">H18*I18*J18</f>
        <v>1.6384000000000001E-5</v>
      </c>
    </row>
    <row r="19" spans="1:11" customFormat="1" ht="26.1" customHeight="1" thickBot="1" x14ac:dyDescent="0.3">
      <c r="A19" s="60" t="s">
        <v>12</v>
      </c>
      <c r="B19" s="61"/>
      <c r="C19" s="61"/>
      <c r="D19" s="61"/>
      <c r="E19" s="67"/>
      <c r="F19" s="67"/>
      <c r="G19" s="62"/>
      <c r="H19" s="25"/>
      <c r="I19" s="25"/>
      <c r="J19" s="25"/>
    </row>
    <row r="20" spans="1:11" customFormat="1" ht="35.450000000000003" customHeight="1" x14ac:dyDescent="0.25">
      <c r="A20" s="22">
        <v>153</v>
      </c>
      <c r="B20" s="17"/>
      <c r="C20" s="17"/>
      <c r="D20" s="17" t="s">
        <v>49</v>
      </c>
      <c r="E20" s="17">
        <v>32</v>
      </c>
      <c r="F20" s="17"/>
      <c r="G20" s="17"/>
      <c r="H20" s="16"/>
      <c r="I20" s="25"/>
      <c r="J20" s="25"/>
    </row>
    <row r="21" spans="1:11" customFormat="1" ht="35.450000000000003" customHeight="1" x14ac:dyDescent="0.25">
      <c r="A21" s="22"/>
      <c r="B21" s="16"/>
      <c r="C21" s="16"/>
      <c r="D21" s="16" t="s">
        <v>43</v>
      </c>
      <c r="E21" s="16">
        <v>58</v>
      </c>
      <c r="F21" s="16"/>
      <c r="G21" s="16"/>
      <c r="H21" s="16"/>
      <c r="I21" s="25"/>
      <c r="J21" s="25"/>
    </row>
    <row r="22" spans="1:11" customFormat="1" ht="35.450000000000003" customHeight="1" x14ac:dyDescent="0.25">
      <c r="A22" s="22"/>
      <c r="B22" s="16"/>
      <c r="C22" s="16"/>
      <c r="D22" s="16" t="s">
        <v>51</v>
      </c>
      <c r="E22" s="16">
        <v>16</v>
      </c>
      <c r="F22" s="16"/>
      <c r="G22" s="16"/>
      <c r="H22" s="16"/>
      <c r="I22" s="25"/>
      <c r="J22" s="25"/>
    </row>
    <row r="23" spans="1:11" customFormat="1" ht="35.450000000000003" customHeight="1" x14ac:dyDescent="0.25">
      <c r="A23" s="22"/>
      <c r="B23" s="16"/>
      <c r="C23" s="16"/>
      <c r="D23" s="16" t="s">
        <v>50</v>
      </c>
      <c r="E23" s="16">
        <f>E20+E21</f>
        <v>90</v>
      </c>
      <c r="F23" s="16"/>
      <c r="G23" s="16"/>
      <c r="H23" s="16"/>
      <c r="I23" s="25"/>
      <c r="J23" s="25"/>
    </row>
    <row r="24" spans="1:11" customFormat="1" ht="18.95" customHeight="1" x14ac:dyDescent="0.25">
      <c r="A24" s="23">
        <v>159</v>
      </c>
      <c r="B24" s="16"/>
      <c r="C24" s="16"/>
      <c r="D24" s="16" t="s">
        <v>16</v>
      </c>
      <c r="E24" s="16">
        <f>E22</f>
        <v>16</v>
      </c>
      <c r="F24" s="16"/>
      <c r="G24" s="16"/>
      <c r="H24" s="16"/>
      <c r="I24" s="25"/>
      <c r="J24" s="25"/>
    </row>
    <row r="25" spans="1:11" customFormat="1" ht="18.95" customHeight="1" x14ac:dyDescent="0.25">
      <c r="A25" s="23">
        <v>162</v>
      </c>
      <c r="B25" s="16"/>
      <c r="C25" s="16"/>
      <c r="D25" s="16" t="s">
        <v>17</v>
      </c>
      <c r="E25" s="16">
        <f>E23</f>
        <v>90</v>
      </c>
      <c r="F25" s="16"/>
      <c r="G25" s="16"/>
      <c r="H25" s="16"/>
      <c r="I25" s="25"/>
      <c r="J25" s="25"/>
    </row>
    <row r="26" spans="1:11" customFormat="1" ht="18.95" customHeight="1" x14ac:dyDescent="0.25">
      <c r="A26" s="66"/>
      <c r="B26" s="16"/>
      <c r="C26" s="16"/>
      <c r="D26" s="16" t="s">
        <v>53</v>
      </c>
      <c r="E26" s="16">
        <f>E24</f>
        <v>16</v>
      </c>
      <c r="F26" s="16"/>
      <c r="G26" s="16"/>
      <c r="H26" s="16"/>
      <c r="I26" s="25"/>
      <c r="J26" s="25"/>
    </row>
    <row r="27" spans="1:11" x14ac:dyDescent="0.25">
      <c r="B27" s="48"/>
      <c r="C27" s="20"/>
      <c r="D27" s="20" t="s">
        <v>41</v>
      </c>
      <c r="E27" s="20">
        <v>16</v>
      </c>
      <c r="F27" s="20"/>
      <c r="G27" s="20"/>
      <c r="H27" s="20"/>
    </row>
    <row r="28" spans="1:11" x14ac:dyDescent="0.25">
      <c r="B28" s="48"/>
      <c r="C28" s="20"/>
      <c r="D28" s="20" t="s">
        <v>42</v>
      </c>
      <c r="E28" s="20">
        <v>4</v>
      </c>
      <c r="F28" s="20"/>
      <c r="G28" s="20"/>
      <c r="H28" s="20"/>
    </row>
  </sheetData>
  <mergeCells count="5">
    <mergeCell ref="A1:K1"/>
    <mergeCell ref="B4:K4"/>
    <mergeCell ref="B2:K2"/>
    <mergeCell ref="B16:K16"/>
    <mergeCell ref="A19:G1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Спецификация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2026-06-05T10:30:16Z</cp:lastPrinted>
  <dcterms:created xsi:type="dcterms:W3CDTF">2017-04-27T07:18:00Z</dcterms:created>
  <dcterms:modified xsi:type="dcterms:W3CDTF">2026-06-05T13:49:38Z</dcterms:modified>
</cp:coreProperties>
</file>