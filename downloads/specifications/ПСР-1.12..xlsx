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<sst xmlns="http://schemas.openxmlformats.org/spreadsheetml/2006/main" count="50" uniqueCount="50">
  <si>
    <t>ПСР-1.12</t>
  </si>
  <si>
    <t xml:space="preserve">Размер 2,55 х 2,55 х 2,85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</si>
  <si>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</si>
  <si>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</si>
  <si>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</si>
  <si>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</si>
  <si>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</si>
  <si>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</si>
  <si>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</si>
  <si>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</si>
  <si>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</si>
  <si>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</si>
  <si>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</si>
  <si>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</si>
  <si>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</si>
  <si>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</si>
  <si>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 xml:space="preserve">Объем всего</t>
  </si>
  <si>
    <t>СТОЛБЫ</t>
  </si>
  <si>
    <t>0005ДБ</t>
  </si>
  <si>
    <t xml:space="preserve">Столб (брус 100х100)  2000 мм</t>
  </si>
  <si>
    <t>тик</t>
  </si>
  <si>
    <t>0187МП</t>
  </si>
  <si>
    <t xml:space="preserve">Закладная для столба 100х100</t>
  </si>
  <si>
    <t>ПАНЕЛИ</t>
  </si>
  <si>
    <t xml:space="preserve">ЭЛЕМЕНТЫ ДОМИКОВ  1.08</t>
  </si>
  <si>
    <t>00723</t>
  </si>
  <si>
    <t xml:space="preserve">Борт №1 песочницы 1.02 (800х300х21)</t>
  </si>
  <si>
    <t>00724</t>
  </si>
  <si>
    <t xml:space="preserve">Борт №2 песочницы 1.02 (870х300х21)</t>
  </si>
  <si>
    <t>00725</t>
  </si>
  <si>
    <t xml:space="preserve">Лавка 1 песочницы 1.02 (800х220х21)</t>
  </si>
  <si>
    <t>00726</t>
  </si>
  <si>
    <t xml:space="preserve">Лавка 2 песочницы 1.02 (966х218х21) </t>
  </si>
  <si>
    <t>М-2.07.01</t>
  </si>
  <si>
    <t xml:space="preserve">Уголок крепления фанеры 90 градусов</t>
  </si>
  <si>
    <t>М-2.07.01.135</t>
  </si>
  <si>
    <t xml:space="preserve">Уголок крепления фанеры 135 градусов</t>
  </si>
  <si>
    <t>КРЫШИ</t>
  </si>
  <si>
    <t>00271</t>
  </si>
  <si>
    <t xml:space="preserve">Скат крыши восьмигранной 800 (1179х1494х15)</t>
  </si>
  <si>
    <t>00033</t>
  </si>
  <si>
    <t xml:space="preserve">Накл. Галка фронт крыши (800х800) 438х349х15</t>
  </si>
  <si>
    <t>00272</t>
  </si>
  <si>
    <t xml:space="preserve">Опора крыши восьмигранной</t>
  </si>
  <si>
    <t>0057МП</t>
  </si>
  <si>
    <t xml:space="preserve">Пластина содиняющая крышу</t>
  </si>
  <si>
    <t xml:space="preserve">Уголок крепления фанеры</t>
  </si>
  <si>
    <t>ЗАГЛУШКИ</t>
  </si>
  <si>
    <t xml:space="preserve">Заглушка пластиковая на болт М6 (черные)</t>
  </si>
  <si>
    <t xml:space="preserve">Заглушка пластиковая на болт М8-10 (черные)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</si>
</sst>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0.0000"/>
    <numFmt numFmtId="162" formatCode="0.000"/>
  </numFmts>
  <fonts count="16">
    <font>
      <sz val="11.000000"/>
      <color theme="1"/>
      <name val="Calibri"/>
      <scheme val="minor"/>
    </font>
    <font>
      <i/>
      <sz val="12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b/>
      <i/>
      <sz val="11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sz val="12.000000"/>
      <color theme="1"/>
      <name val="Arial"/>
    </font>
    <font>
      <sz val="11.000000"/>
      <color theme="1"/>
      <name val="Arial"/>
    </font>
    <font>
      <b/>
      <sz val="16.000000"/>
      <color theme="1"/>
      <name val="Arial"/>
    </font>
    <font>
      <sz val="12.000000"/>
      <name val="Calibri"/>
      <scheme val="minor"/>
    </font>
    <font>
      <b/>
      <i/>
      <sz val="14.000000"/>
      <color theme="1"/>
      <name val="Calibri"/>
      <scheme val="minor"/>
    </font>
    <font>
      <sz val="10.000000"/>
      <color theme="1"/>
      <name val="Calibri"/>
      <scheme val="minor"/>
    </font>
    <font>
      <sz val="1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4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07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vertical="center" wrapText="1"/>
    </xf>
    <xf fontId="5" fillId="0" borderId="11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5" fillId="0" borderId="13" numFmtId="0" xfId="0" applyFont="1" applyBorder="1"/>
    <xf fontId="7" fillId="3" borderId="8" numFmtId="0" xfId="0" applyFont="1" applyFill="1" applyBorder="1" applyAlignment="1">
      <alignment horizontal="center" vertical="center"/>
    </xf>
    <xf fontId="7" fillId="3" borderId="9" numFmtId="0" xfId="0" applyFont="1" applyFill="1" applyBorder="1" applyAlignment="1">
      <alignment horizontal="center" vertical="center"/>
    </xf>
    <xf fontId="7" fillId="3" borderId="10" numFmtId="0" xfId="0" applyFont="1" applyFill="1" applyBorder="1" applyAlignment="1">
      <alignment horizontal="center" vertical="center"/>
    </xf>
    <xf fontId="5" fillId="0" borderId="11" numFmtId="0" xfId="0" applyFont="1" applyBorder="1"/>
    <xf fontId="5" fillId="0" borderId="12" numFmtId="0" xfId="0" applyFont="1" applyBorder="1"/>
    <xf fontId="0" fillId="0" borderId="12" numFmtId="0" xfId="0" applyBorder="1"/>
    <xf fontId="8" fillId="0" borderId="0" numFmtId="0" xfId="0" applyFont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9" fillId="0" borderId="15" numFmtId="49" xfId="0" applyNumberFormat="1" applyFont="1" applyBorder="1" applyAlignment="1">
      <alignment horizontal="center" vertical="center" wrapText="1"/>
    </xf>
    <xf fontId="1" fillId="0" borderId="15" numFmtId="0" xfId="0" applyFont="1" applyBorder="1" applyAlignment="1">
      <alignment horizontal="left" indent="1" vertical="center" wrapText="1"/>
    </xf>
    <xf fontId="1" fillId="0" borderId="15" numFmtId="0" xfId="0" applyFont="1" applyBorder="1" applyAlignment="1">
      <alignment horizontal="center" vertical="center" wrapText="1"/>
    </xf>
    <xf fontId="9" fillId="0" borderId="15" numFmtId="0" xfId="0" applyFont="1" applyBorder="1" applyAlignment="1">
      <alignment horizontal="center" vertical="center" wrapText="1"/>
    </xf>
    <xf fontId="9" fillId="0" borderId="16" numFmtId="162" xfId="0" applyNumberFormat="1" applyFont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 wrapText="1"/>
    </xf>
    <xf fontId="10" fillId="0" borderId="12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textRotation="90" vertical="center" wrapText="1"/>
    </xf>
    <xf fontId="1" fillId="0" borderId="18" numFmtId="0" xfId="0" applyFont="1" applyBorder="1" applyAlignment="1">
      <alignment horizontal="center" vertical="center" wrapText="1"/>
    </xf>
    <xf fontId="1" fillId="0" borderId="19" numFmtId="0" xfId="0" applyFont="1" applyBorder="1" applyAlignment="1">
      <alignment horizontal="center" vertical="center" wrapText="1"/>
    </xf>
    <xf fontId="1" fillId="0" borderId="19" numFmtId="0" xfId="0" applyFont="1" applyBorder="1" applyAlignment="1">
      <alignment horizontal="left" indent="1" vertical="center" wrapText="1"/>
    </xf>
    <xf fontId="1" fillId="4" borderId="19" numFmtId="0" xfId="0" applyFont="1" applyFill="1" applyBorder="1" applyAlignment="1">
      <alignment horizontal="center" vertical="center"/>
    </xf>
    <xf fontId="1" fillId="0" borderId="20" numFmtId="161" xfId="1" applyNumberFormat="1" applyFont="1" applyBorder="1" applyAlignment="1">
      <alignment vertical="center" wrapText="1"/>
    </xf>
    <xf fontId="5" fillId="0" borderId="5" numFmtId="0" xfId="0" applyFont="1" applyBorder="1"/>
    <xf fontId="11" fillId="3" borderId="21" numFmtId="0" xfId="0" applyFont="1" applyFill="1" applyBorder="1" applyAlignment="1">
      <alignment horizontal="center" textRotation="90" vertical="center" wrapText="1"/>
    </xf>
    <xf fontId="1" fillId="0" borderId="1" numFmtId="0" xfId="0" applyFont="1" applyBorder="1" applyAlignment="1">
      <alignment horizontal="center" vertical="center" wrapText="1"/>
    </xf>
    <xf fontId="8" fillId="0" borderId="2" numFmtId="49" xfId="0" applyNumberFormat="1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2" fillId="5" borderId="2" numFmtId="0" xfId="0" applyFont="1" applyFill="1" applyBorder="1" applyAlignment="1">
      <alignment horizontal="center" vertical="center"/>
    </xf>
    <xf fontId="1" fillId="0" borderId="22" numFmtId="161" xfId="0" applyNumberFormat="1" applyFont="1" applyBorder="1" applyAlignment="1">
      <alignment horizontal="center" vertical="center" wrapText="1"/>
    </xf>
    <xf fontId="11" fillId="3" borderId="17" numFmtId="0" xfId="0" applyFont="1" applyFill="1" applyBorder="1" applyAlignment="1">
      <alignment horizontal="center" textRotation="90" vertical="center" wrapText="1"/>
    </xf>
    <xf fontId="1" fillId="0" borderId="23" numFmtId="0" xfId="0" applyFont="1" applyBorder="1" applyAlignment="1">
      <alignment horizontal="center" vertical="center" wrapText="1"/>
    </xf>
    <xf fontId="8" fillId="0" borderId="12" numFmtId="49" xfId="0" applyNumberFormat="1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6" borderId="12" numFmtId="0" xfId="0" applyFont="1" applyFill="1" applyBorder="1" applyAlignment="1">
      <alignment horizontal="center" vertical="center"/>
    </xf>
    <xf fontId="1" fillId="0" borderId="24" numFmtId="161" xfId="0" applyNumberFormat="1" applyFont="1" applyBorder="1" applyAlignment="1">
      <alignment horizontal="center" vertical="center" wrapText="1"/>
    </xf>
    <xf fontId="12" fillId="5" borderId="12" numFmtId="0" xfId="0" applyFont="1" applyFill="1" applyBorder="1" applyAlignment="1">
      <alignment horizontal="center" vertical="center"/>
    </xf>
    <xf fontId="5" fillId="0" borderId="17" numFmtId="0" xfId="0" applyFont="1" applyBorder="1"/>
    <xf fontId="1" fillId="0" borderId="12" numFmtId="0" xfId="0" applyFont="1" applyBorder="1" applyAlignment="1">
      <alignment horizontal="left" indent="1" vertical="center" wrapText="1"/>
    </xf>
    <xf fontId="1" fillId="4" borderId="12" numFmtId="0" xfId="0" applyFont="1" applyFill="1" applyBorder="1" applyAlignment="1">
      <alignment horizontal="center" vertical="center"/>
    </xf>
    <xf fontId="1" fillId="0" borderId="24" numFmtId="161" xfId="1" applyNumberFormat="1" applyFont="1" applyBorder="1" applyAlignment="1">
      <alignment vertical="center" wrapText="1"/>
    </xf>
    <xf fontId="5" fillId="0" borderId="25" numFmtId="0" xfId="0" applyFont="1" applyBorder="1"/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left" indent="1" vertical="center" wrapText="1"/>
    </xf>
    <xf fontId="1" fillId="4" borderId="4" numFmtId="0" xfId="0" applyFont="1" applyFill="1" applyBorder="1" applyAlignment="1">
      <alignment horizontal="center" vertical="center"/>
    </xf>
    <xf fontId="1" fillId="0" borderId="26" numFmtId="161" xfId="1" applyNumberFormat="1" applyFont="1" applyBorder="1" applyAlignment="1">
      <alignment vertical="center" wrapText="1"/>
    </xf>
    <xf fontId="0" fillId="0" borderId="27" numFmtId="0" xfId="0" applyBorder="1"/>
    <xf fontId="13" fillId="3" borderId="28" numFmtId="0" xfId="0" applyFont="1" applyFill="1" applyBorder="1" applyAlignment="1">
      <alignment horizontal="center" vertical="center"/>
    </xf>
    <xf fontId="13" fillId="3" borderId="29" numFmtId="0" xfId="0" applyFont="1" applyFill="1" applyBorder="1" applyAlignment="1">
      <alignment horizontal="center" vertical="center"/>
    </xf>
    <xf fontId="13" fillId="3" borderId="30" numFmtId="0" xfId="0" applyFont="1" applyFill="1" applyBorder="1" applyAlignment="1">
      <alignment horizontal="center" vertical="center"/>
    </xf>
    <xf fontId="14" fillId="0" borderId="31" numFmtId="0" xfId="0" applyFont="1" applyBorder="1" applyAlignment="1">
      <alignment vertical="center"/>
    </xf>
    <xf fontId="8" fillId="0" borderId="0" numFmtId="162" xfId="0" applyNumberFormat="1" applyFont="1" applyAlignment="1">
      <alignment horizontal="center" vertical="center" wrapText="1"/>
    </xf>
    <xf fontId="9" fillId="0" borderId="23" numFmtId="0" xfId="0" applyFont="1" applyBorder="1" applyAlignment="1">
      <alignment horizontal="center" vertical="center" wrapText="1"/>
    </xf>
    <xf fontId="9" fillId="0" borderId="12" numFmtId="49" xfId="0" applyNumberFormat="1" applyFont="1" applyBorder="1" applyAlignment="1">
      <alignment horizontal="center" vertical="center" wrapText="1"/>
    </xf>
    <xf fontId="9" fillId="0" borderId="12" numFmtId="0" xfId="0" applyFont="1" applyBorder="1" applyAlignment="1">
      <alignment horizontal="center" vertical="center" wrapText="1"/>
    </xf>
    <xf fontId="15" fillId="7" borderId="12" numFmtId="0" xfId="0" applyFont="1" applyFill="1" applyBorder="1" applyAlignment="1">
      <alignment horizontal="center" vertical="center"/>
    </xf>
    <xf fontId="8" fillId="0" borderId="11" numFmtId="0" xfId="0" applyFont="1" applyBorder="1" applyAlignment="1">
      <alignment horizontal="center" vertical="center" wrapText="1"/>
    </xf>
    <xf fontId="8" fillId="0" borderId="12" numFmtId="0" xfId="0" applyFont="1" applyBorder="1" applyAlignment="1">
      <alignment horizontal="center" vertical="center" wrapText="1"/>
    </xf>
    <xf fontId="8" fillId="0" borderId="12" numFmtId="162" xfId="0" applyNumberFormat="1" applyFont="1" applyBorder="1" applyAlignment="1">
      <alignment horizontal="center" vertical="center" wrapText="1"/>
    </xf>
    <xf fontId="15" fillId="4" borderId="12" numFmtId="0" xfId="0" applyFont="1" applyFill="1" applyBorder="1" applyAlignment="1">
      <alignment horizontal="center" vertical="center"/>
    </xf>
    <xf fontId="8" fillId="0" borderId="32" numFmtId="0" xfId="0" applyFont="1" applyBorder="1" applyAlignment="1">
      <alignment horizontal="center" vertical="center" wrapText="1"/>
    </xf>
    <xf fontId="8" fillId="0" borderId="19" numFmtId="0" xfId="0" applyFont="1" applyBorder="1" applyAlignment="1">
      <alignment horizontal="center" vertical="center" wrapText="1"/>
    </xf>
    <xf fontId="8" fillId="0" borderId="19" numFmtId="162" xfId="0" applyNumberFormat="1" applyFont="1" applyBorder="1" applyAlignment="1">
      <alignment horizontal="center" vertical="center" wrapText="1"/>
    </xf>
    <xf fontId="9" fillId="0" borderId="19" numFmtId="49" xfId="0" applyNumberFormat="1" applyFont="1" applyBorder="1" applyAlignment="1">
      <alignment horizontal="center" vertical="center" wrapText="1"/>
    </xf>
    <xf fontId="9" fillId="0" borderId="19" numFmtId="0" xfId="0" applyFont="1" applyBorder="1" applyAlignment="1">
      <alignment horizontal="center" vertical="center" wrapText="1"/>
    </xf>
    <xf fontId="9" fillId="0" borderId="4" numFmtId="0" xfId="0" applyFont="1" applyBorder="1" applyAlignment="1">
      <alignment horizontal="center" vertical="center" wrapText="1"/>
    </xf>
    <xf fontId="15" fillId="4" borderId="4" numFmtId="0" xfId="0" applyFont="1" applyFill="1" applyBorder="1" applyAlignment="1">
      <alignment horizontal="center" vertical="center"/>
    </xf>
    <xf fontId="9" fillId="0" borderId="26" numFmtId="162" xfId="0" applyNumberFormat="1" applyFont="1" applyBorder="1" applyAlignment="1">
      <alignment horizontal="center" vertical="center" wrapText="1"/>
    </xf>
    <xf fontId="8" fillId="0" borderId="11" numFmtId="162" xfId="0" applyNumberFormat="1" applyFont="1" applyBorder="1" applyAlignment="1">
      <alignment horizontal="center" vertical="center" wrapText="1"/>
    </xf>
    <xf fontId="7" fillId="3" borderId="7" numFmtId="0" xfId="0" applyFont="1" applyFill="1" applyBorder="1" applyAlignment="1">
      <alignment horizontal="center" vertical="center" wrapText="1"/>
    </xf>
    <xf fontId="7" fillId="3" borderId="29" numFmtId="0" xfId="0" applyFont="1" applyFill="1" applyBorder="1" applyAlignment="1">
      <alignment horizontal="center" vertical="center" wrapText="1"/>
    </xf>
    <xf fontId="7" fillId="3" borderId="30" numFmtId="0" xfId="0" applyFont="1" applyFill="1" applyBorder="1" applyAlignment="1">
      <alignment horizontal="center" vertical="center" wrapText="1"/>
    </xf>
    <xf fontId="5" fillId="0" borderId="33" numFmtId="0" xfId="0" applyFont="1" applyBorder="1" applyAlignment="1">
      <alignment horizontal="center" vertical="center" wrapText="1"/>
    </xf>
    <xf fontId="5" fillId="0" borderId="15" numFmtId="0" xfId="0" applyFont="1" applyBorder="1" applyAlignment="1">
      <alignment horizontal="center" vertical="center" wrapText="1"/>
    </xf>
    <xf fontId="10" fillId="0" borderId="15" numFmtId="0" xfId="0" applyFont="1" applyBorder="1" applyAlignment="1">
      <alignment horizontal="center" vertical="center" wrapText="1"/>
    </xf>
    <xf fontId="5" fillId="0" borderId="17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left" indent="1" vertical="center" wrapText="1"/>
    </xf>
    <xf fontId="7" fillId="0" borderId="2" numFmtId="0" xfId="0" applyFont="1" applyBorder="1" applyAlignment="1">
      <alignment horizontal="center" vertical="center"/>
    </xf>
    <xf fontId="1" fillId="0" borderId="2" numFmtId="0" xfId="0" applyFont="1" applyBorder="1"/>
    <xf fontId="1" fillId="0" borderId="2" numFmtId="0" xfId="0" applyFont="1" applyBorder="1" applyAlignment="1">
      <alignment horizontal="center" vertical="center"/>
    </xf>
    <xf fontId="1" fillId="0" borderId="22" numFmtId="161" xfId="1" applyNumberFormat="1" applyFont="1" applyBorder="1" applyAlignment="1">
      <alignment vertical="center"/>
    </xf>
    <xf fontId="7" fillId="0" borderId="4" numFmtId="0" xfId="0" applyFont="1" applyBorder="1" applyAlignment="1">
      <alignment horizontal="center" vertical="center"/>
    </xf>
    <xf fontId="1" fillId="0" borderId="4" numFmtId="0" xfId="0" applyFont="1" applyBorder="1"/>
    <xf fontId="1" fillId="0" borderId="4" numFmtId="0" xfId="0" applyFont="1" applyBorder="1" applyAlignment="1">
      <alignment horizontal="center" vertical="center"/>
    </xf>
    <xf fontId="1" fillId="0" borderId="26" numFmtId="161" xfId="1" applyNumberFormat="1" applyFont="1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21</xdr:row>
      <xdr:rowOff>0</xdr:rowOff>
    </xdr:from>
    <xdr:to>
      <xdr:col>5</xdr:col>
      <xdr:colOff>1681025</xdr:colOff>
      <xdr:row>21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21</xdr:row>
      <xdr:rowOff>89647</xdr:rowOff>
    </xdr:from>
    <xdr:to>
      <xdr:col>5</xdr:col>
      <xdr:colOff>1171163</xdr:colOff>
      <xdr:row>21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22</xdr:row>
      <xdr:rowOff>45945</xdr:rowOff>
    </xdr:from>
    <xdr:to>
      <xdr:col>5</xdr:col>
      <xdr:colOff>1314720</xdr:colOff>
      <xdr:row>22</xdr:row>
      <xdr:rowOff>850933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136074</xdr:colOff>
      <xdr:row>6</xdr:row>
      <xdr:rowOff>176891</xdr:rowOff>
    </xdr:from>
    <xdr:to>
      <xdr:col>5</xdr:col>
      <xdr:colOff>1553724</xdr:colOff>
      <xdr:row>6</xdr:row>
      <xdr:rowOff>680356</xdr:rowOff>
    </xdr:to>
    <xdr:pic>
      <xdr:nvPicPr>
        <xdr:cNvPr id="72" name="Picture 10"/>
        <xdr:cNvPicPr>
          <a:picLocks noChangeAspect="1" noChangeArrowheads="1"/>
        </xdr:cNvPicPr>
      </xdr:nvPicPr>
      <xdr:blipFill>
        <a:blip r:embed="rId1"/>
        <a:srcRect l="0" t="0" r="-2703" b="47582"/>
        <a:stretch/>
      </xdr:blipFill>
      <xdr:spPr bwMode="auto">
        <a:xfrm rot="16199999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160143</xdr:colOff>
      <xdr:row>8</xdr:row>
      <xdr:rowOff>107256</xdr:rowOff>
    </xdr:from>
    <xdr:to>
      <xdr:col>5</xdr:col>
      <xdr:colOff>1585288</xdr:colOff>
      <xdr:row>8</xdr:row>
      <xdr:rowOff>711465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290036" y="7509543"/>
          <a:ext cx="1425145" cy="6042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136070</xdr:colOff>
      <xdr:row>9</xdr:row>
      <xdr:rowOff>88793</xdr:rowOff>
    </xdr:from>
    <xdr:to>
      <xdr:col>5</xdr:col>
      <xdr:colOff>1652254</xdr:colOff>
      <xdr:row>9</xdr:row>
      <xdr:rowOff>693964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5265963" y="8307507"/>
          <a:ext cx="1516184" cy="6051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22</xdr:row>
      <xdr:rowOff>45945</xdr:rowOff>
    </xdr:from>
    <xdr:to>
      <xdr:col>5</xdr:col>
      <xdr:colOff>1314720</xdr:colOff>
      <xdr:row>22</xdr:row>
      <xdr:rowOff>850934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22</xdr:row>
      <xdr:rowOff>45945</xdr:rowOff>
    </xdr:from>
    <xdr:to>
      <xdr:col>5</xdr:col>
      <xdr:colOff>1314720</xdr:colOff>
      <xdr:row>22</xdr:row>
      <xdr:rowOff>850926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2195554</xdr:colOff>
      <xdr:row>2</xdr:row>
      <xdr:rowOff>141070</xdr:rowOff>
    </xdr:from>
    <xdr:to>
      <xdr:col>6</xdr:col>
      <xdr:colOff>625927</xdr:colOff>
      <xdr:row>2</xdr:row>
      <xdr:rowOff>4429126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3801197" y="658141"/>
          <a:ext cx="3737159" cy="42880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30006</xdr:colOff>
      <xdr:row>2</xdr:row>
      <xdr:rowOff>81643</xdr:rowOff>
    </xdr:from>
    <xdr:to>
      <xdr:col>3</xdr:col>
      <xdr:colOff>1946485</xdr:colOff>
      <xdr:row>2</xdr:row>
      <xdr:rowOff>4122965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30006" y="598714"/>
          <a:ext cx="3522123" cy="4041322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666751</xdr:colOff>
      <xdr:row>2</xdr:row>
      <xdr:rowOff>982282</xdr:rowOff>
    </xdr:from>
    <xdr:to>
      <xdr:col>10</xdr:col>
      <xdr:colOff>568117</xdr:colOff>
      <xdr:row>2</xdr:row>
      <xdr:rowOff>3586640</xdr:rowOff>
    </xdr:to>
    <xdr:pic>
      <xdr:nvPicPr>
        <xdr:cNvPr id="119" name="Рисунок 118" descr="2-11_вид 2.jpg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7579180" y="1499353"/>
          <a:ext cx="2990188" cy="2604358"/>
        </a:xfrm>
        <a:prstGeom prst="rect">
          <a:avLst/>
        </a:prstGeom>
      </xdr:spPr>
    </xdr:pic>
    <xdr:clientData/>
  </xdr:twoCellAnchor>
  <xdr:twoCellAnchor editAs="twoCell">
    <xdr:from>
      <xdr:col>5</xdr:col>
      <xdr:colOff>203781</xdr:colOff>
      <xdr:row>10</xdr:row>
      <xdr:rowOff>176893</xdr:rowOff>
    </xdr:from>
    <xdr:to>
      <xdr:col>5</xdr:col>
      <xdr:colOff>1563923</xdr:colOff>
      <xdr:row>10</xdr:row>
      <xdr:rowOff>598789</xdr:rowOff>
    </xdr:to>
    <xdr:pic>
      <xdr:nvPicPr>
        <xdr:cNvPr id="37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333674" y="9198429"/>
          <a:ext cx="1360142" cy="4218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92412</xdr:colOff>
      <xdr:row>11</xdr:row>
      <xdr:rowOff>176892</xdr:rowOff>
    </xdr:from>
    <xdr:to>
      <xdr:col>5</xdr:col>
      <xdr:colOff>1684641</xdr:colOff>
      <xdr:row>11</xdr:row>
      <xdr:rowOff>598714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5222305" y="10001249"/>
          <a:ext cx="1592229" cy="421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437028</xdr:colOff>
      <xdr:row>15</xdr:row>
      <xdr:rowOff>52465</xdr:rowOff>
    </xdr:from>
    <xdr:to>
      <xdr:col>5</xdr:col>
      <xdr:colOff>1322293</xdr:colOff>
      <xdr:row>15</xdr:row>
      <xdr:rowOff>1075765</xdr:rowOff>
    </xdr:to>
    <xdr:pic>
      <xdr:nvPicPr>
        <xdr:cNvPr id="32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580528" y="65498740"/>
          <a:ext cx="885265" cy="1023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403412</xdr:colOff>
      <xdr:row>17</xdr:row>
      <xdr:rowOff>67234</xdr:rowOff>
    </xdr:from>
    <xdr:to>
      <xdr:col>5</xdr:col>
      <xdr:colOff>1235275</xdr:colOff>
      <xdr:row>17</xdr:row>
      <xdr:rowOff>896470</xdr:rowOff>
    </xdr:to>
    <xdr:pic>
      <xdr:nvPicPr>
        <xdr:cNvPr id="40" name="Picture 9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5546912" y="69028235"/>
          <a:ext cx="831863" cy="829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312964</xdr:colOff>
      <xdr:row>18</xdr:row>
      <xdr:rowOff>126290</xdr:rowOff>
    </xdr:from>
    <xdr:to>
      <xdr:col>5</xdr:col>
      <xdr:colOff>1401535</xdr:colOff>
      <xdr:row>18</xdr:row>
      <xdr:rowOff>778129</xdr:rowOff>
    </xdr:to>
    <xdr:pic>
      <xdr:nvPicPr>
        <xdr:cNvPr id="23" name="Picture 9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5442857" y="18781683"/>
          <a:ext cx="1088572" cy="6518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176893</xdr:colOff>
      <xdr:row>16</xdr:row>
      <xdr:rowOff>27214</xdr:rowOff>
    </xdr:from>
    <xdr:to>
      <xdr:col>5</xdr:col>
      <xdr:colOff>1510393</xdr:colOff>
      <xdr:row>17</xdr:row>
      <xdr:rowOff>0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5306786" y="16859250"/>
          <a:ext cx="1333500" cy="114300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7" zoomScale="70" workbookViewId="0">
      <selection activeCell="D19" activeCellId="0" sqref="D19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2.28515625"/>
    <col customWidth="1" min="13" max="13" width="6.5703125"/>
    <col customWidth="1" min="14" max="14" width="14.140625"/>
    <col customWidth="1" min="15" max="15" width="7.28515625"/>
    <col customWidth="1" min="16" max="16" width="10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353.25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6" t="s">
        <v>8</v>
      </c>
      <c r="I4" s="16" t="s">
        <v>9</v>
      </c>
      <c r="J4" s="16" t="s">
        <v>10</v>
      </c>
      <c r="K4" s="17" t="s">
        <v>11</v>
      </c>
      <c r="L4" s="18" t="s">
        <v>12</v>
      </c>
      <c r="M4" s="19" t="s">
        <v>13</v>
      </c>
      <c r="N4" s="20" t="s">
        <v>14</v>
      </c>
      <c r="O4" s="19" t="s">
        <v>15</v>
      </c>
      <c r="P4" s="21" t="s">
        <v>16</v>
      </c>
    </row>
    <row r="5" ht="15">
      <c r="A5" s="22"/>
      <c r="B5" s="23" t="s">
        <v>17</v>
      </c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7"/>
      <c r="O5" s="27"/>
      <c r="P5" s="28"/>
    </row>
    <row r="6" s="29" customFormat="1" ht="24" customHeight="1">
      <c r="A6" s="22"/>
      <c r="B6" s="30">
        <v>1</v>
      </c>
      <c r="C6" s="31" t="s">
        <v>18</v>
      </c>
      <c r="D6" s="32" t="s">
        <v>19</v>
      </c>
      <c r="E6" s="33">
        <v>8</v>
      </c>
      <c r="F6" s="34"/>
      <c r="G6" s="34" t="s">
        <v>20</v>
      </c>
      <c r="H6" s="34">
        <v>2</v>
      </c>
      <c r="I6" s="34"/>
      <c r="J6" s="34"/>
      <c r="K6" s="35">
        <f t="shared" ref="K6:K10" si="0">H6*I6*J6</f>
        <v>0</v>
      </c>
      <c r="L6" s="36"/>
      <c r="M6" s="37"/>
      <c r="N6" s="37"/>
      <c r="O6" s="37"/>
      <c r="P6" s="37">
        <f t="shared" ref="P6:P23" si="1">K6*E6</f>
        <v>0</v>
      </c>
    </row>
    <row r="7" s="29" customFormat="1" ht="63.75" customHeight="1">
      <c r="A7" s="38"/>
      <c r="B7" s="39">
        <v>2</v>
      </c>
      <c r="C7" s="40" t="s">
        <v>21</v>
      </c>
      <c r="D7" s="41" t="s">
        <v>22</v>
      </c>
      <c r="E7" s="40">
        <v>8</v>
      </c>
      <c r="F7" s="40"/>
      <c r="G7" s="42">
        <v>7047</v>
      </c>
      <c r="H7" s="40"/>
      <c r="I7" s="40"/>
      <c r="J7" s="40"/>
      <c r="K7" s="43">
        <f t="shared" si="0"/>
        <v>0</v>
      </c>
      <c r="L7" s="18">
        <v>2</v>
      </c>
      <c r="M7" s="20">
        <f t="shared" ref="M7:M23" si="2">L7*E7</f>
        <v>16</v>
      </c>
      <c r="N7" s="20"/>
      <c r="O7" s="20">
        <f t="shared" ref="O7:O23" si="3">N7*E7</f>
        <v>0</v>
      </c>
      <c r="P7" s="37">
        <f t="shared" si="1"/>
        <v>0</v>
      </c>
    </row>
    <row r="8" ht="15">
      <c r="A8" s="44"/>
      <c r="B8" s="23" t="s">
        <v>23</v>
      </c>
      <c r="C8" s="24"/>
      <c r="D8" s="24"/>
      <c r="E8" s="24"/>
      <c r="F8" s="24"/>
      <c r="G8" s="24"/>
      <c r="H8" s="24"/>
      <c r="I8" s="24"/>
      <c r="J8" s="24"/>
      <c r="K8" s="25"/>
      <c r="L8" s="26"/>
      <c r="M8" s="20">
        <f t="shared" si="2"/>
        <v>0</v>
      </c>
      <c r="N8" s="27"/>
      <c r="O8" s="20">
        <f t="shared" si="3"/>
        <v>0</v>
      </c>
      <c r="P8" s="37">
        <f t="shared" si="1"/>
        <v>0</v>
      </c>
    </row>
    <row r="9" s="29" customFormat="1" ht="63.75" customHeight="1">
      <c r="A9" s="45" t="s">
        <v>24</v>
      </c>
      <c r="B9" s="46">
        <v>3</v>
      </c>
      <c r="C9" s="47" t="s">
        <v>25</v>
      </c>
      <c r="D9" s="48" t="s">
        <v>26</v>
      </c>
      <c r="E9" s="48">
        <v>4</v>
      </c>
      <c r="F9" s="48"/>
      <c r="G9" s="49">
        <v>6018</v>
      </c>
      <c r="H9" s="48"/>
      <c r="I9" s="48"/>
      <c r="J9" s="48"/>
      <c r="K9" s="50">
        <f t="shared" si="0"/>
        <v>0</v>
      </c>
      <c r="L9" s="36">
        <v>4</v>
      </c>
      <c r="M9" s="20">
        <f t="shared" si="2"/>
        <v>16</v>
      </c>
      <c r="N9" s="37"/>
      <c r="O9" s="20">
        <f t="shared" si="3"/>
        <v>0</v>
      </c>
      <c r="P9" s="37">
        <f t="shared" si="1"/>
        <v>0</v>
      </c>
    </row>
    <row r="10" s="29" customFormat="1" ht="63" customHeight="1">
      <c r="A10" s="51"/>
      <c r="B10" s="52">
        <v>4</v>
      </c>
      <c r="C10" s="53" t="s">
        <v>27</v>
      </c>
      <c r="D10" s="54" t="s">
        <v>28</v>
      </c>
      <c r="E10" s="54">
        <v>4</v>
      </c>
      <c r="F10" s="54"/>
      <c r="G10" s="55">
        <v>2008</v>
      </c>
      <c r="H10" s="54"/>
      <c r="I10" s="54"/>
      <c r="J10" s="54"/>
      <c r="K10" s="56">
        <f t="shared" si="0"/>
        <v>0</v>
      </c>
      <c r="L10" s="36">
        <v>4</v>
      </c>
      <c r="M10" s="20">
        <f t="shared" si="2"/>
        <v>16</v>
      </c>
      <c r="N10" s="37"/>
      <c r="O10" s="20">
        <f t="shared" si="3"/>
        <v>0</v>
      </c>
      <c r="P10" s="37">
        <f t="shared" si="1"/>
        <v>0</v>
      </c>
    </row>
    <row r="11" s="29" customFormat="1" ht="63" customHeight="1">
      <c r="A11" s="51"/>
      <c r="B11" s="52">
        <v>5</v>
      </c>
      <c r="C11" s="47" t="s">
        <v>29</v>
      </c>
      <c r="D11" s="54" t="s">
        <v>30</v>
      </c>
      <c r="E11" s="54">
        <v>4</v>
      </c>
      <c r="F11" s="54"/>
      <c r="G11" s="55">
        <v>2008</v>
      </c>
      <c r="H11" s="54"/>
      <c r="I11" s="54"/>
      <c r="J11" s="54"/>
      <c r="K11" s="56">
        <f t="shared" ref="K11:K19" si="4">H11*I11*J11</f>
        <v>0</v>
      </c>
      <c r="L11" s="36"/>
      <c r="M11" s="20">
        <f t="shared" ref="M11:M12" si="5">L11*E11</f>
        <v>0</v>
      </c>
      <c r="N11" s="37"/>
      <c r="O11" s="20">
        <f t="shared" si="3"/>
        <v>0</v>
      </c>
      <c r="P11" s="37">
        <f t="shared" si="1"/>
        <v>0</v>
      </c>
    </row>
    <row r="12" s="29" customFormat="1" ht="63" customHeight="1">
      <c r="A12" s="51"/>
      <c r="B12" s="52">
        <v>6</v>
      </c>
      <c r="C12" s="53" t="s">
        <v>31</v>
      </c>
      <c r="D12" s="54" t="s">
        <v>32</v>
      </c>
      <c r="E12" s="54">
        <v>4</v>
      </c>
      <c r="F12" s="54"/>
      <c r="G12" s="57">
        <v>6018</v>
      </c>
      <c r="H12" s="54"/>
      <c r="I12" s="54"/>
      <c r="J12" s="54"/>
      <c r="K12" s="56">
        <f t="shared" si="4"/>
        <v>0</v>
      </c>
      <c r="L12" s="36"/>
      <c r="M12" s="20">
        <f t="shared" si="5"/>
        <v>0</v>
      </c>
      <c r="N12" s="37"/>
      <c r="O12" s="20">
        <f t="shared" si="3"/>
        <v>0</v>
      </c>
      <c r="P12" s="37">
        <f t="shared" si="1"/>
        <v>0</v>
      </c>
    </row>
    <row r="13" s="29" customFormat="1" ht="32.25" customHeight="1">
      <c r="A13" s="58"/>
      <c r="B13" s="52">
        <v>7</v>
      </c>
      <c r="C13" s="54" t="s">
        <v>33</v>
      </c>
      <c r="D13" s="59" t="s">
        <v>34</v>
      </c>
      <c r="E13" s="54">
        <v>24</v>
      </c>
      <c r="F13" s="54"/>
      <c r="G13" s="60">
        <v>7047</v>
      </c>
      <c r="H13" s="54"/>
      <c r="I13" s="54"/>
      <c r="J13" s="54"/>
      <c r="K13" s="61"/>
      <c r="L13" s="18"/>
      <c r="M13" s="20">
        <f t="shared" si="2"/>
        <v>0</v>
      </c>
      <c r="N13" s="20">
        <v>2</v>
      </c>
      <c r="O13" s="20">
        <f t="shared" si="3"/>
        <v>48</v>
      </c>
      <c r="P13" s="37">
        <f t="shared" si="1"/>
        <v>0</v>
      </c>
    </row>
    <row r="14" s="29" customFormat="1" ht="32.25" customHeight="1">
      <c r="A14" s="62"/>
      <c r="B14" s="63">
        <v>8</v>
      </c>
      <c r="C14" s="64" t="s">
        <v>35</v>
      </c>
      <c r="D14" s="65" t="s">
        <v>36</v>
      </c>
      <c r="E14" s="64">
        <v>16</v>
      </c>
      <c r="F14" s="64"/>
      <c r="G14" s="66">
        <v>7047</v>
      </c>
      <c r="H14" s="64"/>
      <c r="I14" s="64"/>
      <c r="J14" s="64"/>
      <c r="K14" s="67"/>
      <c r="L14" s="18"/>
      <c r="M14" s="20">
        <f>L14*E14</f>
        <v>0</v>
      </c>
      <c r="N14" s="20">
        <v>2</v>
      </c>
      <c r="O14" s="20">
        <f t="shared" ref="O14:O20" si="6">N14*E14</f>
        <v>32</v>
      </c>
      <c r="P14" s="37">
        <f t="shared" ref="P14:P18" si="7">K14*E14</f>
        <v>0</v>
      </c>
    </row>
    <row r="15" ht="18.75">
      <c r="A15" s="68"/>
      <c r="B15" s="69" t="s">
        <v>37</v>
      </c>
      <c r="C15" s="70"/>
      <c r="D15" s="70"/>
      <c r="E15" s="70"/>
      <c r="F15" s="70"/>
      <c r="G15" s="70"/>
      <c r="H15" s="70"/>
      <c r="I15" s="70"/>
      <c r="J15" s="70"/>
      <c r="K15" s="71"/>
      <c r="L15" s="72"/>
      <c r="U15" s="73"/>
    </row>
    <row r="16" s="29" customFormat="1" ht="90.75" customHeight="1">
      <c r="B16" s="74">
        <v>11</v>
      </c>
      <c r="C16" s="75" t="s">
        <v>38</v>
      </c>
      <c r="D16" s="59" t="s">
        <v>39</v>
      </c>
      <c r="E16" s="54">
        <v>4</v>
      </c>
      <c r="F16" s="76"/>
      <c r="G16" s="77">
        <v>5012</v>
      </c>
      <c r="H16" s="76">
        <v>1.5</v>
      </c>
      <c r="I16" s="76">
        <v>1.1799999999999999</v>
      </c>
      <c r="J16" s="76"/>
      <c r="K16" s="56">
        <f t="shared" si="4"/>
        <v>0</v>
      </c>
      <c r="L16" s="78"/>
      <c r="M16" s="79"/>
      <c r="N16" s="79">
        <v>4</v>
      </c>
      <c r="O16" s="79">
        <f t="shared" si="6"/>
        <v>16</v>
      </c>
      <c r="P16" s="80">
        <f t="shared" si="7"/>
        <v>0</v>
      </c>
    </row>
    <row r="17" s="29" customFormat="1" ht="92.25" customHeight="1">
      <c r="B17" s="74">
        <v>14</v>
      </c>
      <c r="C17" s="75" t="s">
        <v>40</v>
      </c>
      <c r="D17" s="59" t="s">
        <v>41</v>
      </c>
      <c r="E17" s="54">
        <v>4</v>
      </c>
      <c r="G17" s="81">
        <v>7047</v>
      </c>
      <c r="H17" s="76">
        <v>0.45300000000000001</v>
      </c>
      <c r="I17" s="76">
        <v>0.27700000000000002</v>
      </c>
      <c r="J17" s="76"/>
      <c r="K17" s="56">
        <f t="shared" si="4"/>
        <v>0</v>
      </c>
      <c r="L17" s="78"/>
      <c r="M17" s="79"/>
      <c r="N17" s="79">
        <v>6</v>
      </c>
      <c r="O17" s="79">
        <f t="shared" si="6"/>
        <v>24</v>
      </c>
      <c r="P17" s="80">
        <f t="shared" si="7"/>
        <v>0</v>
      </c>
    </row>
    <row r="18" s="29" customFormat="1" ht="76.5" customHeight="1">
      <c r="B18" s="74">
        <v>15</v>
      </c>
      <c r="C18" s="75" t="s">
        <v>42</v>
      </c>
      <c r="D18" s="59" t="s">
        <v>43</v>
      </c>
      <c r="E18" s="54">
        <v>8</v>
      </c>
      <c r="F18" s="76"/>
      <c r="G18" s="57">
        <v>6018</v>
      </c>
      <c r="H18" s="76">
        <v>0.70999999999999996</v>
      </c>
      <c r="I18" s="76">
        <v>0.747</v>
      </c>
      <c r="J18" s="76"/>
      <c r="K18" s="56">
        <f t="shared" si="4"/>
        <v>0</v>
      </c>
      <c r="L18" s="82">
        <v>2</v>
      </c>
      <c r="M18" s="83"/>
      <c r="N18" s="83">
        <v>2</v>
      </c>
      <c r="O18" s="83">
        <f t="shared" si="6"/>
        <v>16</v>
      </c>
      <c r="P18" s="84">
        <f t="shared" si="7"/>
        <v>0</v>
      </c>
    </row>
    <row r="19" s="29" customFormat="1" ht="71.25" customHeight="1">
      <c r="B19" s="74">
        <v>16</v>
      </c>
      <c r="C19" s="85" t="s">
        <v>44</v>
      </c>
      <c r="D19" s="41" t="s">
        <v>45</v>
      </c>
      <c r="E19" s="40">
        <v>1</v>
      </c>
      <c r="F19" s="86"/>
      <c r="G19" s="81">
        <v>7047</v>
      </c>
      <c r="H19" s="86">
        <v>0.29999999999999999</v>
      </c>
      <c r="I19" s="86">
        <v>0.29999999999999999</v>
      </c>
      <c r="J19" s="86">
        <v>0.154</v>
      </c>
      <c r="K19" s="56">
        <f t="shared" si="4"/>
        <v>0.013859999999999999</v>
      </c>
      <c r="L19" s="82"/>
      <c r="M19" s="83"/>
      <c r="N19" s="83"/>
      <c r="O19" s="83"/>
      <c r="P19" s="84"/>
    </row>
    <row r="20" s="29" customFormat="1" ht="27.75" customHeight="1">
      <c r="B20" s="74">
        <v>17</v>
      </c>
      <c r="C20" s="87" t="s">
        <v>33</v>
      </c>
      <c r="D20" s="65" t="s">
        <v>46</v>
      </c>
      <c r="E20" s="64">
        <v>24</v>
      </c>
      <c r="F20" s="87"/>
      <c r="G20" s="88">
        <v>7047</v>
      </c>
      <c r="H20" s="87"/>
      <c r="I20" s="87"/>
      <c r="J20" s="87"/>
      <c r="K20" s="89"/>
      <c r="L20" s="90"/>
      <c r="M20" s="79"/>
      <c r="N20" s="79">
        <v>2</v>
      </c>
      <c r="O20" s="79">
        <f t="shared" si="6"/>
        <v>48</v>
      </c>
      <c r="P20" s="79"/>
      <c r="Q20" s="79"/>
    </row>
    <row r="21" s="29" customFormat="1" ht="25.5" customHeight="1">
      <c r="A21" s="44"/>
      <c r="B21" s="91" t="s">
        <v>47</v>
      </c>
      <c r="C21" s="92"/>
      <c r="D21" s="92"/>
      <c r="E21" s="92"/>
      <c r="F21" s="92"/>
      <c r="G21" s="92"/>
      <c r="H21" s="92"/>
      <c r="I21" s="92"/>
      <c r="J21" s="92"/>
      <c r="K21" s="93"/>
      <c r="L21" s="94"/>
      <c r="M21" s="95">
        <f t="shared" si="2"/>
        <v>0</v>
      </c>
      <c r="N21" s="95"/>
      <c r="O21" s="95">
        <f t="shared" si="3"/>
        <v>0</v>
      </c>
      <c r="P21" s="96">
        <f t="shared" si="1"/>
        <v>0</v>
      </c>
    </row>
    <row r="22" ht="58.5" customHeight="1">
      <c r="A22" s="97"/>
      <c r="B22" s="46">
        <v>18</v>
      </c>
      <c r="C22" s="48"/>
      <c r="D22" s="98" t="s">
        <v>48</v>
      </c>
      <c r="E22" s="99">
        <v>96</v>
      </c>
      <c r="F22" s="100"/>
      <c r="G22" s="100"/>
      <c r="H22" s="101"/>
      <c r="I22" s="101"/>
      <c r="J22" s="101"/>
      <c r="K22" s="102"/>
      <c r="L22" s="26"/>
      <c r="M22" s="20">
        <f t="shared" si="2"/>
        <v>0</v>
      </c>
      <c r="N22" s="27"/>
      <c r="O22" s="20">
        <f t="shared" si="3"/>
        <v>0</v>
      </c>
      <c r="P22" s="37">
        <f t="shared" si="1"/>
        <v>0</v>
      </c>
    </row>
    <row r="23" ht="73.5" customHeight="1">
      <c r="A23" s="97"/>
      <c r="B23" s="63">
        <v>19</v>
      </c>
      <c r="C23" s="64"/>
      <c r="D23" s="65" t="s">
        <v>49</v>
      </c>
      <c r="E23" s="103">
        <v>68</v>
      </c>
      <c r="F23" s="104"/>
      <c r="G23" s="104"/>
      <c r="H23" s="105"/>
      <c r="I23" s="105"/>
      <c r="J23" s="105"/>
      <c r="K23" s="106">
        <v>0.001</v>
      </c>
      <c r="L23" s="26"/>
      <c r="M23" s="20">
        <f t="shared" si="2"/>
        <v>0</v>
      </c>
      <c r="N23" s="27"/>
      <c r="O23" s="20">
        <f t="shared" si="3"/>
        <v>0</v>
      </c>
      <c r="P23" s="37">
        <f t="shared" si="1"/>
        <v>0.068000000000000005</v>
      </c>
    </row>
    <row r="24">
      <c r="M24">
        <f>SUM(M6:M23)</f>
        <v>48</v>
      </c>
      <c r="O24">
        <f>SUM(O6:O23)</f>
        <v>184</v>
      </c>
      <c r="P24">
        <f>SUM(P6:P23)</f>
        <v>0.068000000000000005</v>
      </c>
    </row>
  </sheetData>
  <mergeCells count="8">
    <mergeCell ref="A1:K1"/>
    <mergeCell ref="B2:K2"/>
    <mergeCell ref="B3:K3"/>
    <mergeCell ref="B5:K5"/>
    <mergeCell ref="B8:K8"/>
    <mergeCell ref="A9:A12"/>
    <mergeCell ref="B15:K15"/>
    <mergeCell ref="B21:K21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1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2025-04-24T12:13:49Z</dcterms:modified>
</cp:coreProperties>
</file>