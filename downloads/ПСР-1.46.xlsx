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<sst xmlns="http://schemas.openxmlformats.org/spreadsheetml/2006/main" count="61" uniqueCount="61">
  <si>
    <t>ПСР-1.46</t>
  </si>
  <si>
    <t xml:space="preserve">Размер 1,66 х 2,80 х 2,00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</si>
  <si>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</si>
  <si>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</si>
  <si>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</si>
  <si>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</si>
  <si>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</si>
  <si>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</si>
  <si>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</si>
  <si>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</si>
  <si>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</si>
  <si>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</si>
  <si>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</si>
  <si>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</si>
  <si>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</si>
  <si>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</si>
  <si>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 xml:space="preserve">Объем всего</t>
  </si>
  <si>
    <t>СТОЛБЫ</t>
  </si>
  <si>
    <t>0038ДБ</t>
  </si>
  <si>
    <t xml:space="preserve">Столб (брус 100х100)  300 мм</t>
  </si>
  <si>
    <t>тик</t>
  </si>
  <si>
    <t>0008ДБ</t>
  </si>
  <si>
    <t xml:space="preserve">Столб (брус 100х100)  1500 мм</t>
  </si>
  <si>
    <t>0013МП</t>
  </si>
  <si>
    <t xml:space="preserve">Закладная для столба 100х100</t>
  </si>
  <si>
    <t>ПЕСОЧНИЦА</t>
  </si>
  <si>
    <t xml:space="preserve">ЭЛЕМЕНТЫ ДОМИКОВ  1.08</t>
  </si>
  <si>
    <t>0088ДБ</t>
  </si>
  <si>
    <t xml:space="preserve">Доска 35х90х1500 мм (красный)</t>
  </si>
  <si>
    <t xml:space="preserve">Доска 35х90х1500 мм (голубой)</t>
  </si>
  <si>
    <t xml:space="preserve">Доска 35х90х1500 мм (желтый)</t>
  </si>
  <si>
    <t xml:space="preserve">Доска 35х90х200 мм (голубой)</t>
  </si>
  <si>
    <t>ПАНЕЛИ</t>
  </si>
  <si>
    <t>000693</t>
  </si>
  <si>
    <t xml:space="preserve">Панель большая песочницы 1.46
1500 x 480 x 21</t>
  </si>
  <si>
    <t>000694</t>
  </si>
  <si>
    <t xml:space="preserve">Панель малая песочницы 1.46
700 x 480 x 21</t>
  </si>
  <si>
    <t>000695</t>
  </si>
  <si>
    <t xml:space="preserve">Столешница песочницы 1.46
1660 x 780 x 21</t>
  </si>
  <si>
    <t>000696</t>
  </si>
  <si>
    <t xml:space="preserve">Столешница угловая песочницы 1.46
1660 x 880 x 21</t>
  </si>
  <si>
    <t>000697</t>
  </si>
  <si>
    <t xml:space="preserve">Фронтон песочницы 1.46
1589 x 700 x 21</t>
  </si>
  <si>
    <t>000698</t>
  </si>
  <si>
    <t xml:space="preserve">Скат крыши песочницы 1.46
984 x 800 x 15</t>
  </si>
  <si>
    <t>000699</t>
  </si>
  <si>
    <t xml:space="preserve">Крышка песочницы 1.46
1600 x 1180 x 15</t>
  </si>
  <si>
    <t>0003МП</t>
  </si>
  <si>
    <t xml:space="preserve">Уголок крепления фанеры</t>
  </si>
  <si>
    <t>0208МП</t>
  </si>
  <si>
    <t xml:space="preserve">Петли для песочницы</t>
  </si>
  <si>
    <t>оцинкованный</t>
  </si>
  <si>
    <t>МЕТАЛЛ</t>
  </si>
  <si>
    <t>0001МП</t>
  </si>
  <si>
    <t xml:space="preserve">Ручка песочницы ПСР-1.04</t>
  </si>
  <si>
    <t>ЗАГЛУШКИ</t>
  </si>
  <si>
    <t>КЧМ6КС</t>
  </si>
  <si>
    <t xml:space="preserve">Заглушка пластиковая на болт М6 (черные)</t>
  </si>
  <si>
    <t>Черный</t>
  </si>
  <si>
    <t>КЧМ8КС</t>
  </si>
  <si>
    <t xml:space="preserve">Заглушка пластиковая на болт М8-10 (черные)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</si>
</sst>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_₽_-;\-* #,##0.00\ _₽_-;_-* &quot;-&quot;??\ _₽_-;_-@_-"/>
    <numFmt numFmtId="161" formatCode="0.0000"/>
    <numFmt numFmtId="162" formatCode="0.000"/>
    <numFmt numFmtId="163" formatCode="0.00000"/>
  </numFmts>
  <fonts count="14">
    <font>
      <sz val="11.000000"/>
      <color theme="1"/>
      <name val="Calibri"/>
      <scheme val="minor"/>
    </font>
    <font>
      <i/>
      <sz val="12.000000"/>
      <color theme="1"/>
      <name val="Arial"/>
    </font>
    <font>
      <b/>
      <sz val="16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/>
      <name val="Arial"/>
    </font>
    <font>
      <b/>
      <i/>
      <sz val="11.000000"/>
      <color theme="1"/>
      <name val="Arial"/>
    </font>
    <font>
      <b/>
      <i/>
      <sz val="12.000000"/>
      <color theme="1"/>
      <name val="Arial"/>
    </font>
    <font>
      <sz val="10.000000"/>
      <color theme="1"/>
      <name val="Arial"/>
    </font>
    <font>
      <sz val="12.000000"/>
      <color theme="1"/>
      <name val="Arial"/>
    </font>
    <font>
      <b/>
      <sz val="16.000000"/>
      <color theme="1"/>
      <name val="Arial"/>
    </font>
    <font>
      <i/>
      <sz val="10.000000"/>
      <color theme="1"/>
      <name val="Arial"/>
    </font>
    <font>
      <sz val="11.000000"/>
      <color theme="1"/>
      <name val="Arial"/>
    </font>
    <font>
      <sz val="9.00000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2"/>
        <bgColor indexed="2"/>
      </patternFill>
    </fill>
    <fill>
      <patternFill patternType="solid">
        <fgColor rgb="FF00B0F0"/>
        <bgColor rgb="FF00B0F0"/>
      </patternFill>
    </fill>
  </fills>
  <borders count="32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98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 indent="1"/>
    </xf>
    <xf fontId="0" fillId="0" borderId="0" numFmtId="0" xfId="0" applyAlignment="1">
      <alignment horizontal="center" vertical="center"/>
    </xf>
    <xf fontId="0" fillId="0" borderId="0" numFmtId="161" xfId="1" applyNumberFormat="1"/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3" fillId="0" borderId="4" numFmtId="0" xfId="0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/>
    <xf fontId="1" fillId="0" borderId="8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left" indent="1" vertical="center" wrapText="1"/>
    </xf>
    <xf fontId="1" fillId="0" borderId="9" numFmtId="0" xfId="0" applyFont="1" applyBorder="1" applyAlignment="1">
      <alignment horizontal="center" vertical="center" wrapText="1"/>
    </xf>
    <xf fontId="1" fillId="0" borderId="10" numFmtId="161" xfId="1" applyNumberFormat="1" applyFont="1" applyBorder="1" applyAlignment="1">
      <alignment vertical="center" wrapText="1"/>
    </xf>
    <xf fontId="5" fillId="0" borderId="11" numFmtId="0" xfId="0" applyFont="1" applyBorder="1" applyAlignment="1">
      <alignment horizontal="center" vertical="center" wrapText="1"/>
    </xf>
    <xf fontId="6" fillId="0" borderId="12" numFmtId="0" xfId="0" applyFont="1" applyBorder="1" applyAlignment="1">
      <alignment horizontal="center" vertical="center" wrapText="1"/>
    </xf>
    <xf fontId="5" fillId="0" borderId="12" numFmtId="0" xfId="0" applyFont="1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5" fillId="0" borderId="13" numFmtId="0" xfId="0" applyFont="1" applyBorder="1"/>
    <xf fontId="7" fillId="3" borderId="8" numFmtId="0" xfId="0" applyFont="1" applyFill="1" applyBorder="1" applyAlignment="1">
      <alignment horizontal="center" vertical="center"/>
    </xf>
    <xf fontId="7" fillId="3" borderId="9" numFmtId="0" xfId="0" applyFont="1" applyFill="1" applyBorder="1" applyAlignment="1">
      <alignment horizontal="center" vertical="center"/>
    </xf>
    <xf fontId="7" fillId="3" borderId="10" numFmtId="0" xfId="0" applyFont="1" applyFill="1" applyBorder="1" applyAlignment="1">
      <alignment horizontal="center" vertical="center"/>
    </xf>
    <xf fontId="5" fillId="0" borderId="11" numFmtId="0" xfId="0" applyFont="1" applyBorder="1"/>
    <xf fontId="5" fillId="0" borderId="12" numFmtId="0" xfId="0" applyFont="1" applyBorder="1"/>
    <xf fontId="0" fillId="0" borderId="12" numFmtId="0" xfId="0" applyBorder="1"/>
    <xf fontId="8" fillId="0" borderId="0" numFmtId="0" xfId="0" applyFont="1" applyAlignment="1">
      <alignment horizontal="center" vertical="center" wrapText="1"/>
    </xf>
    <xf fontId="1" fillId="0" borderId="14" numFmtId="0" xfId="0" applyFont="1" applyBorder="1" applyAlignment="1">
      <alignment horizontal="center" vertical="center" wrapText="1"/>
    </xf>
    <xf fontId="5" fillId="0" borderId="12" numFmtId="49" xfId="0" applyNumberFormat="1" applyFont="1" applyBorder="1" applyAlignment="1">
      <alignment horizontal="center" vertical="center" wrapText="1"/>
    </xf>
    <xf fontId="5" fillId="0" borderId="12" numFmtId="0" xfId="0" applyFont="1" applyBorder="1" applyAlignment="1">
      <alignment horizontal="left" indent="1" vertical="center" wrapText="1"/>
    </xf>
    <xf fontId="1" fillId="0" borderId="15" numFmtId="0" xfId="0" applyFont="1" applyBorder="1" applyAlignment="1">
      <alignment horizontal="center" vertical="center" wrapText="1"/>
    </xf>
    <xf fontId="9" fillId="0" borderId="15" numFmtId="0" xfId="0" applyFont="1" applyBorder="1" applyAlignment="1">
      <alignment vertical="center" wrapText="1"/>
    </xf>
    <xf fontId="9" fillId="0" borderId="15" numFmtId="0" xfId="0" applyFont="1" applyBorder="1" applyAlignment="1">
      <alignment horizontal="center" vertical="center" wrapText="1"/>
    </xf>
    <xf fontId="9" fillId="0" borderId="16" numFmtId="162" xfId="0" applyNumberFormat="1" applyFont="1" applyBorder="1" applyAlignment="1">
      <alignment horizontal="center" vertical="center" wrapText="1"/>
    </xf>
    <xf fontId="9" fillId="0" borderId="11" numFmtId="0" xfId="0" applyFont="1" applyBorder="1" applyAlignment="1">
      <alignment horizontal="center" vertical="center" wrapText="1"/>
    </xf>
    <xf fontId="9" fillId="0" borderId="12" numFmtId="0" xfId="0" applyFont="1" applyBorder="1" applyAlignment="1">
      <alignment horizontal="center" vertical="center" wrapText="1"/>
    </xf>
    <xf fontId="6" fillId="0" borderId="17" numFmtId="0" xfId="0" applyFont="1" applyBorder="1" applyAlignment="1">
      <alignment horizontal="center" textRotation="90" vertical="center" wrapText="1"/>
    </xf>
    <xf fontId="1" fillId="0" borderId="18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0" borderId="19" numFmtId="162" xfId="0" applyNumberFormat="1" applyFont="1" applyBorder="1" applyAlignment="1">
      <alignment horizontal="center" vertical="center" wrapText="1"/>
    </xf>
    <xf fontId="1" fillId="0" borderId="11" numFmtId="0" xfId="0" applyFont="1" applyBorder="1"/>
    <xf fontId="1" fillId="0" borderId="12" numFmtId="0" xfId="0" applyFont="1" applyBorder="1"/>
    <xf fontId="1" fillId="0" borderId="20" numFmtId="0" xfId="0" applyFont="1" applyBorder="1" applyAlignment="1">
      <alignment horizontal="center" vertical="center" wrapText="1"/>
    </xf>
    <xf fontId="1" fillId="0" borderId="21" numFmtId="0" xfId="0" applyFont="1" applyBorder="1" applyAlignment="1">
      <alignment horizontal="center" vertical="center" wrapText="1"/>
    </xf>
    <xf fontId="1" fillId="0" borderId="21" numFmtId="0" xfId="0" applyFont="1" applyBorder="1" applyAlignment="1">
      <alignment horizontal="left" indent="1" vertical="center" wrapText="1"/>
    </xf>
    <xf fontId="1" fillId="4" borderId="21" numFmtId="0" xfId="0" applyFont="1" applyFill="1" applyBorder="1" applyAlignment="1">
      <alignment horizontal="center" vertical="center"/>
    </xf>
    <xf fontId="1" fillId="0" borderId="22" numFmtId="161" xfId="1" applyNumberFormat="1" applyFont="1" applyBorder="1" applyAlignment="1">
      <alignment vertical="center" wrapText="1"/>
    </xf>
    <xf fontId="1" fillId="0" borderId="11" numFmtId="0" xfId="0" applyFont="1" applyBorder="1" applyAlignment="1">
      <alignment horizontal="center" vertical="center" wrapText="1"/>
    </xf>
    <xf fontId="5" fillId="0" borderId="5" numFmtId="0" xfId="0" applyFont="1" applyBorder="1"/>
    <xf fontId="10" fillId="3" borderId="23" numFmtId="0" xfId="0" applyFont="1" applyFill="1" applyBorder="1" applyAlignment="1">
      <alignment horizontal="center" textRotation="90" vertical="center" wrapText="1"/>
    </xf>
    <xf fontId="5" fillId="0" borderId="15" numFmtId="0" xfId="0" applyFont="1" applyBorder="1" applyAlignment="1">
      <alignment horizontal="center" vertical="center" wrapText="1"/>
    </xf>
    <xf fontId="11" fillId="0" borderId="15" numFmtId="0" xfId="0" applyFont="1" applyBorder="1" applyAlignment="1">
      <alignment horizontal="center" vertical="center" wrapText="1"/>
    </xf>
    <xf fontId="8" fillId="0" borderId="15" numFmtId="0" xfId="0" applyFont="1" applyBorder="1" applyAlignment="1">
      <alignment horizontal="center" vertical="center" wrapText="1"/>
    </xf>
    <xf fontId="12" fillId="5" borderId="24" numFmtId="0" xfId="0" applyFont="1" applyFill="1" applyBorder="1" applyAlignment="1">
      <alignment horizontal="center" vertical="center"/>
    </xf>
    <xf fontId="13" fillId="0" borderId="15" numFmtId="0" xfId="0" applyFont="1" applyBorder="1" applyAlignment="1">
      <alignment horizontal="center" vertical="center" wrapText="1"/>
    </xf>
    <xf fontId="13" fillId="0" borderId="16" numFmtId="0" xfId="0" applyFont="1" applyBorder="1" applyAlignment="1">
      <alignment horizontal="center" vertical="center" wrapText="1"/>
    </xf>
    <xf fontId="10" fillId="3" borderId="17" numFmtId="0" xfId="0" applyFont="1" applyFill="1" applyBorder="1" applyAlignment="1">
      <alignment horizontal="center" textRotation="90" vertical="center" wrapText="1"/>
    </xf>
    <xf fontId="5" fillId="6" borderId="12" numFmtId="0" xfId="0" applyFont="1" applyFill="1" applyBorder="1" applyAlignment="1">
      <alignment horizontal="center" vertical="center"/>
    </xf>
    <xf fontId="5" fillId="3" borderId="12" numFmtId="0" xfId="0" applyFont="1" applyFill="1" applyBorder="1" applyAlignment="1">
      <alignment horizontal="center" vertical="center"/>
    </xf>
    <xf fontId="12" fillId="0" borderId="12" numFmtId="49" xfId="0" applyNumberFormat="1" applyFont="1" applyBorder="1" applyAlignment="1">
      <alignment horizontal="center" vertical="center" wrapText="1"/>
    </xf>
    <xf fontId="5" fillId="5" borderId="12" numFmtId="0" xfId="0" applyFont="1" applyFill="1" applyBorder="1" applyAlignment="1">
      <alignment horizontal="center" vertical="center"/>
    </xf>
    <xf fontId="12" fillId="0" borderId="19" numFmtId="162" xfId="0" applyNumberFormat="1" applyFont="1" applyBorder="1" applyAlignment="1">
      <alignment horizontal="center" vertical="center" wrapText="1"/>
    </xf>
    <xf fontId="1" fillId="3" borderId="12" numFmtId="0" xfId="0" applyFont="1" applyFill="1" applyBorder="1" applyAlignment="1">
      <alignment horizontal="center" vertical="center"/>
    </xf>
    <xf fontId="12" fillId="6" borderId="12" numFmtId="0" xfId="0" applyFont="1" applyFill="1" applyBorder="1" applyAlignment="1">
      <alignment horizontal="center" vertical="center"/>
    </xf>
    <xf fontId="5" fillId="0" borderId="17" numFmtId="0" xfId="0" applyFont="1" applyBorder="1"/>
    <xf fontId="1" fillId="0" borderId="12" numFmtId="0" xfId="0" applyFont="1" applyBorder="1" applyAlignment="1">
      <alignment horizontal="left" indent="1" vertical="center" wrapText="1"/>
    </xf>
    <xf fontId="1" fillId="4" borderId="12" numFmtId="0" xfId="0" applyFont="1" applyFill="1" applyBorder="1" applyAlignment="1">
      <alignment horizontal="center" vertical="center"/>
    </xf>
    <xf fontId="1" fillId="0" borderId="19" numFmtId="161" xfId="1" applyNumberFormat="1" applyFont="1" applyBorder="1" applyAlignment="1">
      <alignment vertical="center" wrapText="1"/>
    </xf>
    <xf fontId="5" fillId="0" borderId="25" numFmtId="0" xfId="0" applyFont="1" applyBorder="1"/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left" indent="1" vertical="center" wrapText="1"/>
    </xf>
    <xf fontId="1" fillId="4" borderId="4" numFmtId="0" xfId="0" applyFont="1" applyFill="1" applyBorder="1" applyAlignment="1">
      <alignment horizontal="center" vertical="center" wrapText="1"/>
    </xf>
    <xf fontId="1" fillId="0" borderId="26" numFmtId="161" xfId="1" applyNumberFormat="1" applyFont="1" applyBorder="1" applyAlignment="1">
      <alignment vertical="center" wrapText="1"/>
    </xf>
    <xf fontId="7" fillId="3" borderId="7" numFmtId="0" xfId="0" applyFont="1" applyFill="1" applyBorder="1" applyAlignment="1">
      <alignment horizontal="center" vertical="center" wrapText="1"/>
    </xf>
    <xf fontId="7" fillId="3" borderId="27" numFmtId="0" xfId="0" applyFont="1" applyFill="1" applyBorder="1" applyAlignment="1">
      <alignment horizontal="center" vertical="center" wrapText="1"/>
    </xf>
    <xf fontId="7" fillId="3" borderId="28" numFmtId="0" xfId="0" applyFont="1" applyFill="1" applyBorder="1" applyAlignment="1">
      <alignment horizontal="center" vertical="center" wrapText="1"/>
    </xf>
    <xf fontId="9" fillId="0" borderId="29" numFmtId="0" xfId="0" applyFont="1" applyBorder="1" applyAlignment="1">
      <alignment horizontal="center" vertical="center" wrapText="1"/>
    </xf>
    <xf fontId="9" fillId="0" borderId="24" numFmtId="49" xfId="0" applyNumberFormat="1" applyFont="1" applyBorder="1" applyAlignment="1">
      <alignment horizontal="center" vertical="center" wrapText="1"/>
    </xf>
    <xf fontId="1" fillId="0" borderId="24" numFmtId="0" xfId="0" applyFont="1" applyBorder="1" applyAlignment="1">
      <alignment horizontal="center" vertical="center" wrapText="1"/>
    </xf>
    <xf fontId="9" fillId="0" borderId="24" numFmtId="0" xfId="0" applyFont="1" applyBorder="1" applyAlignment="1">
      <alignment horizontal="center" vertical="center" wrapText="1"/>
    </xf>
    <xf fontId="9" fillId="4" borderId="24" numFmtId="0" xfId="0" applyFont="1" applyFill="1" applyBorder="1" applyAlignment="1">
      <alignment horizontal="center" vertical="center"/>
    </xf>
    <xf fontId="9" fillId="0" borderId="30" numFmtId="0" xfId="0" applyFont="1" applyBorder="1" applyAlignment="1">
      <alignment horizontal="center" vertical="center" wrapText="1"/>
    </xf>
    <xf fontId="9" fillId="0" borderId="31" numFmtId="162" xfId="0" applyNumberFormat="1" applyFont="1" applyBorder="1" applyAlignment="1">
      <alignment horizontal="center" vertical="center" wrapText="1"/>
    </xf>
    <xf fontId="9" fillId="0" borderId="11" numFmtId="2" xfId="0" applyNumberFormat="1" applyFont="1" applyBorder="1" applyAlignment="1">
      <alignment horizontal="center" vertical="center" wrapText="1"/>
    </xf>
    <xf fontId="5" fillId="0" borderId="17" numFmtId="0" xfId="0" applyFont="1" applyBorder="1" applyAlignment="1">
      <alignment horizontal="center" vertical="center"/>
    </xf>
    <xf fontId="1" fillId="0" borderId="15" numFmtId="0" xfId="0" applyFont="1" applyBorder="1" applyAlignment="1">
      <alignment horizontal="left" indent="1" vertical="center" wrapText="1"/>
    </xf>
    <xf fontId="7" fillId="0" borderId="15" numFmtId="0" xfId="0" applyFont="1" applyBorder="1" applyAlignment="1">
      <alignment horizontal="center" vertical="center"/>
    </xf>
    <xf fontId="1" fillId="0" borderId="15" numFmtId="0" xfId="0" applyFont="1" applyBorder="1"/>
    <xf fontId="5" fillId="0" borderId="15" numFmtId="0" xfId="0" applyFont="1" applyBorder="1" applyAlignment="1">
      <alignment horizontal="center" vertical="center"/>
    </xf>
    <xf fontId="5" fillId="0" borderId="16" numFmtId="163" xfId="1" applyNumberFormat="1" applyFont="1" applyBorder="1" applyAlignment="1">
      <alignment horizontal="center" vertical="center"/>
    </xf>
    <xf fontId="7" fillId="0" borderId="4" numFmtId="0" xfId="0" applyFont="1" applyBorder="1" applyAlignment="1">
      <alignment horizontal="center" vertical="center"/>
    </xf>
    <xf fontId="1" fillId="0" borderId="4" numFmtId="0" xfId="0" applyFont="1" applyBorder="1"/>
    <xf fontId="5" fillId="0" borderId="4" numFmtId="0" xfId="0" applyFont="1" applyBorder="1" applyAlignment="1">
      <alignment horizontal="center" vertical="center"/>
    </xf>
    <xf fontId="5" fillId="0" borderId="26" numFmtId="163" xfId="1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71563</xdr:colOff>
      <xdr:row>26</xdr:row>
      <xdr:rowOff>0</xdr:rowOff>
    </xdr:from>
    <xdr:to>
      <xdr:col>5</xdr:col>
      <xdr:colOff>1681025</xdr:colOff>
      <xdr:row>26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26</xdr:row>
      <xdr:rowOff>89647</xdr:rowOff>
    </xdr:from>
    <xdr:to>
      <xdr:col>5</xdr:col>
      <xdr:colOff>1171163</xdr:colOff>
      <xdr:row>26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27</xdr:row>
      <xdr:rowOff>45945</xdr:rowOff>
    </xdr:from>
    <xdr:to>
      <xdr:col>5</xdr:col>
      <xdr:colOff>1314720</xdr:colOff>
      <xdr:row>27</xdr:row>
      <xdr:rowOff>850933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136074</xdr:colOff>
      <xdr:row>7</xdr:row>
      <xdr:rowOff>176891</xdr:rowOff>
    </xdr:from>
    <xdr:to>
      <xdr:col>5</xdr:col>
      <xdr:colOff>1553724</xdr:colOff>
      <xdr:row>7</xdr:row>
      <xdr:rowOff>680356</xdr:rowOff>
    </xdr:to>
    <xdr:pic>
      <xdr:nvPicPr>
        <xdr:cNvPr id="72" name="Picture 10"/>
        <xdr:cNvPicPr>
          <a:picLocks noChangeAspect="1" noChangeArrowheads="1"/>
        </xdr:cNvPicPr>
      </xdr:nvPicPr>
      <xdr:blipFill>
        <a:blip r:embed="rId1"/>
        <a:srcRect l="0" t="0" r="-2703" b="47582"/>
        <a:stretch/>
      </xdr:blipFill>
      <xdr:spPr bwMode="auto">
        <a:xfrm rot="16199999">
          <a:off x="5736666" y="2441228"/>
          <a:ext cx="503465" cy="141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27</xdr:row>
      <xdr:rowOff>45945</xdr:rowOff>
    </xdr:from>
    <xdr:to>
      <xdr:col>5</xdr:col>
      <xdr:colOff>1314720</xdr:colOff>
      <xdr:row>27</xdr:row>
      <xdr:rowOff>850934</xdr:rowOff>
    </xdr:to>
    <xdr:pic>
      <xdr:nvPicPr>
        <xdr:cNvPr id="43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27</xdr:row>
      <xdr:rowOff>45945</xdr:rowOff>
    </xdr:from>
    <xdr:to>
      <xdr:col>5</xdr:col>
      <xdr:colOff>1314720</xdr:colOff>
      <xdr:row>27</xdr:row>
      <xdr:rowOff>850926</xdr:rowOff>
    </xdr:to>
    <xdr:pic>
      <xdr:nvPicPr>
        <xdr:cNvPr id="45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2476498</xdr:colOff>
      <xdr:row>2</xdr:row>
      <xdr:rowOff>1905647</xdr:rowOff>
    </xdr:from>
    <xdr:to>
      <xdr:col>7</xdr:col>
      <xdr:colOff>544283</xdr:colOff>
      <xdr:row>2</xdr:row>
      <xdr:rowOff>5129893</xdr:rowOff>
    </xdr:to>
    <xdr:pic>
      <xdr:nvPicPr>
        <xdr:cNvPr id="117" name="Рисунок 116" descr="2-11_вид 2.jpg"/>
        <xdr:cNvPicPr>
          <a:picLocks noChangeAspect="1"/>
        </xdr:cNvPicPr>
      </xdr:nvPicPr>
      <xdr:blipFill>
        <a:blip r:embed="rId3"/>
        <a:srcRect l="5001" t="6280" r="0" b="5091"/>
        <a:stretch/>
      </xdr:blipFill>
      <xdr:spPr bwMode="auto">
        <a:xfrm>
          <a:off x="4082141" y="2422718"/>
          <a:ext cx="4231822" cy="322424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106119</xdr:colOff>
      <xdr:row>2</xdr:row>
      <xdr:rowOff>175256</xdr:rowOff>
    </xdr:from>
    <xdr:to>
      <xdr:col>3</xdr:col>
      <xdr:colOff>2587757</xdr:colOff>
      <xdr:row>2</xdr:row>
      <xdr:rowOff>3728357</xdr:rowOff>
    </xdr:to>
    <xdr:pic>
      <xdr:nvPicPr>
        <xdr:cNvPr id="118" name="Рисунок 117" descr="2-11_вид 2.jpg"/>
        <xdr:cNvPicPr>
          <a:picLocks noChangeAspect="1"/>
        </xdr:cNvPicPr>
      </xdr:nvPicPr>
      <xdr:blipFill>
        <a:blip r:embed="rId4"/>
        <a:srcRect l="0" t="0" r="6054" b="0"/>
        <a:stretch/>
      </xdr:blipFill>
      <xdr:spPr bwMode="auto">
        <a:xfrm>
          <a:off x="106119" y="692327"/>
          <a:ext cx="4087281" cy="3553101"/>
        </a:xfrm>
        <a:prstGeom prst="rect">
          <a:avLst/>
        </a:prstGeom>
      </xdr:spPr>
    </xdr:pic>
    <xdr:clientData/>
  </xdr:twoCellAnchor>
  <xdr:twoCellAnchor editAs="oneCell">
    <xdr:from>
      <xdr:col>5</xdr:col>
      <xdr:colOff>1646463</xdr:colOff>
      <xdr:row>2</xdr:row>
      <xdr:rowOff>117796</xdr:rowOff>
    </xdr:from>
    <xdr:to>
      <xdr:col>10</xdr:col>
      <xdr:colOff>503464</xdr:colOff>
      <xdr:row>2</xdr:row>
      <xdr:rowOff>2721428</xdr:rowOff>
    </xdr:to>
    <xdr:pic>
      <xdr:nvPicPr>
        <xdr:cNvPr id="119" name="Рисунок 118" descr="2-11_вид 2.jpg"/>
        <xdr:cNvPicPr>
          <a:picLocks noChangeAspect="1"/>
        </xdr:cNvPicPr>
      </xdr:nvPicPr>
      <xdr:blipFill>
        <a:blip r:embed="rId5"/>
        <a:srcRect l="0" t="7686" r="0" b="6805"/>
        <a:stretch/>
      </xdr:blipFill>
      <xdr:spPr bwMode="auto">
        <a:xfrm>
          <a:off x="6776356" y="634868"/>
          <a:ext cx="3728358" cy="2603631"/>
        </a:xfrm>
        <a:prstGeom prst="rect">
          <a:avLst/>
        </a:prstGeom>
      </xdr:spPr>
    </xdr:pic>
    <xdr:clientData/>
  </xdr:twoCellAnchor>
  <xdr:twoCellAnchor editAs="twoCell">
    <xdr:from>
      <xdr:col>5</xdr:col>
      <xdr:colOff>149038</xdr:colOff>
      <xdr:row>24</xdr:row>
      <xdr:rowOff>92584</xdr:rowOff>
    </xdr:from>
    <xdr:to>
      <xdr:col>5</xdr:col>
      <xdr:colOff>1467971</xdr:colOff>
      <xdr:row>24</xdr:row>
      <xdr:rowOff>1130934</xdr:rowOff>
    </xdr:to>
    <xdr:pic>
      <xdr:nvPicPr>
        <xdr:cNvPr id="46" name="Picture 8"/>
        <xdr:cNvPicPr>
          <a:picLocks noChangeAspect="1" noChangeArrowheads="1"/>
        </xdr:cNvPicPr>
      </xdr:nvPicPr>
      <xdr:blipFill>
        <a:blip r:embed="rId6"/>
        <a:stretch/>
      </xdr:blipFill>
      <xdr:spPr bwMode="auto">
        <a:xfrm>
          <a:off x="4873438" y="8998460"/>
          <a:ext cx="1318932" cy="10383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133745</xdr:colOff>
      <xdr:row>14</xdr:row>
      <xdr:rowOff>80537</xdr:rowOff>
    </xdr:from>
    <xdr:to>
      <xdr:col>5</xdr:col>
      <xdr:colOff>1702611</xdr:colOff>
      <xdr:row>14</xdr:row>
      <xdr:rowOff>639534</xdr:rowOff>
    </xdr:to>
    <xdr:pic>
      <xdr:nvPicPr>
        <xdr:cNvPr id="22" name="Рисунок 21" descr="Пол мостика 1500.jpg"/>
        <xdr:cNvPicPr>
          <a:picLocks noChangeAspect="1"/>
        </xdr:cNvPicPr>
      </xdr:nvPicPr>
      <xdr:blipFill>
        <a:blip r:embed="rId7"/>
        <a:stretch/>
      </xdr:blipFill>
      <xdr:spPr bwMode="auto">
        <a:xfrm>
          <a:off x="5467746" y="232681037"/>
          <a:ext cx="1568865" cy="558997"/>
        </a:xfrm>
        <a:prstGeom prst="rect">
          <a:avLst/>
        </a:prstGeom>
      </xdr:spPr>
    </xdr:pic>
    <xdr:clientData/>
  </xdr:twoCellAnchor>
  <xdr:twoCellAnchor editAs="twoCell">
    <xdr:from>
      <xdr:col>5</xdr:col>
      <xdr:colOff>364829</xdr:colOff>
      <xdr:row>15</xdr:row>
      <xdr:rowOff>81054</xdr:rowOff>
    </xdr:from>
    <xdr:to>
      <xdr:col>5</xdr:col>
      <xdr:colOff>1445131</xdr:colOff>
      <xdr:row>15</xdr:row>
      <xdr:rowOff>857250</xdr:rowOff>
    </xdr:to>
    <xdr:pic>
      <xdr:nvPicPr>
        <xdr:cNvPr id="23" name="Рисунок 22" descr="Пол мостика 1500.jpg"/>
        <xdr:cNvPicPr>
          <a:picLocks noChangeAspect="1"/>
        </xdr:cNvPicPr>
      </xdr:nvPicPr>
      <xdr:blipFill>
        <a:blip r:embed="rId8"/>
        <a:stretch/>
      </xdr:blipFill>
      <xdr:spPr bwMode="auto">
        <a:xfrm>
          <a:off x="5698830" y="233414979"/>
          <a:ext cx="1080302" cy="776196"/>
        </a:xfrm>
        <a:prstGeom prst="rect">
          <a:avLst/>
        </a:prstGeom>
      </xdr:spPr>
    </xdr:pic>
    <xdr:clientData/>
  </xdr:twoCellAnchor>
  <xdr:twoCellAnchor editAs="twoCell">
    <xdr:from>
      <xdr:col>5</xdr:col>
      <xdr:colOff>81643</xdr:colOff>
      <xdr:row>16</xdr:row>
      <xdr:rowOff>143583</xdr:rowOff>
    </xdr:from>
    <xdr:to>
      <xdr:col>5</xdr:col>
      <xdr:colOff>1678956</xdr:colOff>
      <xdr:row>16</xdr:row>
      <xdr:rowOff>925285</xdr:rowOff>
    </xdr:to>
    <xdr:pic>
      <xdr:nvPicPr>
        <xdr:cNvPr id="24" name="Рисунок 23" descr="Пол мостика 1500.jpg"/>
        <xdr:cNvPicPr>
          <a:picLocks noChangeAspect="1"/>
        </xdr:cNvPicPr>
      </xdr:nvPicPr>
      <xdr:blipFill>
        <a:blip r:embed="rId9"/>
        <a:stretch/>
      </xdr:blipFill>
      <xdr:spPr bwMode="auto">
        <a:xfrm>
          <a:off x="5415643" y="234410958"/>
          <a:ext cx="1597314" cy="781703"/>
        </a:xfrm>
        <a:prstGeom prst="rect">
          <a:avLst/>
        </a:prstGeom>
      </xdr:spPr>
    </xdr:pic>
    <xdr:clientData/>
  </xdr:twoCellAnchor>
  <xdr:twoCellAnchor editAs="twoCell">
    <xdr:from>
      <xdr:col>5</xdr:col>
      <xdr:colOff>116954</xdr:colOff>
      <xdr:row>17</xdr:row>
      <xdr:rowOff>95658</xdr:rowOff>
    </xdr:from>
    <xdr:to>
      <xdr:col>5</xdr:col>
      <xdr:colOff>1629869</xdr:colOff>
      <xdr:row>17</xdr:row>
      <xdr:rowOff>952499</xdr:rowOff>
    </xdr:to>
    <xdr:pic>
      <xdr:nvPicPr>
        <xdr:cNvPr id="25" name="Рисунок 24" descr="Пол мостика 1500.jpg"/>
        <xdr:cNvPicPr>
          <a:picLocks noChangeAspect="1"/>
        </xdr:cNvPicPr>
      </xdr:nvPicPr>
      <xdr:blipFill>
        <a:blip r:embed="rId10"/>
        <a:stretch/>
      </xdr:blipFill>
      <xdr:spPr bwMode="auto">
        <a:xfrm>
          <a:off x="5450955" y="235467934"/>
          <a:ext cx="1512914" cy="856840"/>
        </a:xfrm>
        <a:prstGeom prst="rect">
          <a:avLst/>
        </a:prstGeom>
      </xdr:spPr>
    </xdr:pic>
    <xdr:clientData/>
  </xdr:twoCellAnchor>
  <xdr:twoCellAnchor editAs="twoCell">
    <xdr:from>
      <xdr:col>5</xdr:col>
      <xdr:colOff>89742</xdr:colOff>
      <xdr:row>18</xdr:row>
      <xdr:rowOff>91020</xdr:rowOff>
    </xdr:from>
    <xdr:to>
      <xdr:col>5</xdr:col>
      <xdr:colOff>1706994</xdr:colOff>
      <xdr:row>18</xdr:row>
      <xdr:rowOff>884464</xdr:rowOff>
    </xdr:to>
    <xdr:pic>
      <xdr:nvPicPr>
        <xdr:cNvPr id="26" name="Рисунок 25" descr="Пол мостика 1500.jpg"/>
        <xdr:cNvPicPr>
          <a:picLocks noChangeAspect="1"/>
        </xdr:cNvPicPr>
      </xdr:nvPicPr>
      <xdr:blipFill>
        <a:blip r:embed="rId11"/>
        <a:stretch/>
      </xdr:blipFill>
      <xdr:spPr bwMode="auto">
        <a:xfrm>
          <a:off x="5423742" y="236491995"/>
          <a:ext cx="1617252" cy="793444"/>
        </a:xfrm>
        <a:prstGeom prst="rect">
          <a:avLst/>
        </a:prstGeom>
      </xdr:spPr>
    </xdr:pic>
    <xdr:clientData/>
  </xdr:twoCellAnchor>
  <xdr:twoCellAnchor editAs="twoCell">
    <xdr:from>
      <xdr:col>5</xdr:col>
      <xdr:colOff>289768</xdr:colOff>
      <xdr:row>19</xdr:row>
      <xdr:rowOff>121418</xdr:rowOff>
    </xdr:from>
    <xdr:to>
      <xdr:col>5</xdr:col>
      <xdr:colOff>1436691</xdr:colOff>
      <xdr:row>19</xdr:row>
      <xdr:rowOff>1020535</xdr:rowOff>
    </xdr:to>
    <xdr:pic>
      <xdr:nvPicPr>
        <xdr:cNvPr id="27" name="Рисунок 26" descr="Пол мостика 1500.jpg"/>
        <xdr:cNvPicPr>
          <a:picLocks noChangeAspect="1"/>
        </xdr:cNvPicPr>
      </xdr:nvPicPr>
      <xdr:blipFill>
        <a:blip r:embed="rId12"/>
        <a:stretch/>
      </xdr:blipFill>
      <xdr:spPr bwMode="auto">
        <a:xfrm>
          <a:off x="5623768" y="237503468"/>
          <a:ext cx="1146923" cy="899118"/>
        </a:xfrm>
        <a:prstGeom prst="rect">
          <a:avLst/>
        </a:prstGeom>
      </xdr:spPr>
    </xdr:pic>
    <xdr:clientData/>
  </xdr:twoCellAnchor>
  <xdr:twoCellAnchor editAs="twoCell">
    <xdr:from>
      <xdr:col>5</xdr:col>
      <xdr:colOff>329748</xdr:colOff>
      <xdr:row>20</xdr:row>
      <xdr:rowOff>97000</xdr:rowOff>
    </xdr:from>
    <xdr:to>
      <xdr:col>5</xdr:col>
      <xdr:colOff>1436933</xdr:colOff>
      <xdr:row>20</xdr:row>
      <xdr:rowOff>938893</xdr:rowOff>
    </xdr:to>
    <xdr:pic>
      <xdr:nvPicPr>
        <xdr:cNvPr id="28" name="Рисунок 27" descr="Пол мостика 1500.jpg"/>
        <xdr:cNvPicPr>
          <a:picLocks noChangeAspect="1"/>
        </xdr:cNvPicPr>
      </xdr:nvPicPr>
      <xdr:blipFill>
        <a:blip r:embed="rId13"/>
        <a:stretch/>
      </xdr:blipFill>
      <xdr:spPr bwMode="auto">
        <a:xfrm>
          <a:off x="5663749" y="238641100"/>
          <a:ext cx="1107184" cy="841893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22</xdr:row>
      <xdr:rowOff>54429</xdr:rowOff>
    </xdr:from>
    <xdr:to>
      <xdr:col>5</xdr:col>
      <xdr:colOff>1347107</xdr:colOff>
      <xdr:row>22</xdr:row>
      <xdr:rowOff>926777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r:embed="rId14"/>
        <a:stretch/>
      </xdr:blipFill>
      <xdr:spPr bwMode="auto">
        <a:xfrm>
          <a:off x="5415643" y="17689286"/>
          <a:ext cx="1061357" cy="872348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571500</xdr:colOff>
      <xdr:row>21</xdr:row>
      <xdr:rowOff>163284</xdr:rowOff>
    </xdr:from>
    <xdr:to>
      <xdr:col>5</xdr:col>
      <xdr:colOff>1129393</xdr:colOff>
      <xdr:row>21</xdr:row>
      <xdr:rowOff>775605</xdr:rowOff>
    </xdr:to>
    <xdr:pic>
      <xdr:nvPicPr>
        <xdr:cNvPr id="3" name="Picture 9"/>
        <xdr:cNvPicPr>
          <a:picLocks noChangeAspect="1" noChangeArrowheads="1"/>
        </xdr:cNvPicPr>
      </xdr:nvPicPr>
      <xdr:blipFill>
        <a:blip r:embed="rId15"/>
        <a:stretch/>
      </xdr:blipFill>
      <xdr:spPr bwMode="auto">
        <a:xfrm>
          <a:off x="5701393" y="16913677"/>
          <a:ext cx="557893" cy="6123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7" zoomScale="70" workbookViewId="0">
      <selection activeCell="D25" activeCellId="0" sqref="D25"/>
    </sheetView>
  </sheetViews>
  <sheetFormatPr defaultRowHeight="14.25"/>
  <cols>
    <col customWidth="1" hidden="1" min="1" max="1" width="6.28515625"/>
    <col customWidth="1" min="2" max="2" style="1" width="7.7109375"/>
    <col customWidth="1" min="3" max="3" width="16.28515625"/>
    <col customWidth="1" min="4" max="4" style="2" width="41.28515625"/>
    <col customWidth="1" min="5" max="5" style="3" width="11.7109375"/>
    <col customWidth="1" min="6" max="6" width="26.7109375"/>
    <col customWidth="1" min="7" max="7" width="12.85546875"/>
    <col customWidth="1" min="8" max="8" width="10.140625"/>
    <col customWidth="1" min="9" max="10" width="11.7109375"/>
    <col customWidth="1" min="11" max="11" style="4" width="12.28515625"/>
    <col customWidth="1" min="12" max="12" width="12.28515625"/>
    <col customWidth="1" min="13" max="13" width="6.5703125"/>
    <col customWidth="1" min="14" max="14" width="14.140625"/>
    <col customWidth="1" min="15" max="15" width="7.28515625"/>
    <col customWidth="1" min="16" max="16" width="10.140625"/>
  </cols>
  <sheetData>
    <row r="1" ht="2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18.75" customHeight="1">
      <c r="A2" s="7"/>
      <c r="B2" s="8" t="s">
        <v>1</v>
      </c>
      <c r="C2" s="8"/>
      <c r="D2" s="8"/>
      <c r="E2" s="8"/>
      <c r="F2" s="8"/>
      <c r="G2" s="8"/>
      <c r="H2" s="8"/>
      <c r="I2" s="8"/>
      <c r="J2" s="8"/>
      <c r="K2" s="8"/>
    </row>
    <row r="3" ht="408.75" customHeight="1">
      <c r="A3" s="9"/>
      <c r="B3" s="10"/>
      <c r="C3" s="9"/>
      <c r="D3" s="9"/>
      <c r="E3" s="9"/>
      <c r="F3" s="9"/>
      <c r="G3" s="9"/>
      <c r="H3" s="9"/>
      <c r="I3" s="9"/>
      <c r="J3" s="9"/>
      <c r="K3" s="11"/>
    </row>
    <row r="4" ht="69" customHeight="1">
      <c r="A4" s="12"/>
      <c r="B4" s="13" t="s">
        <v>2</v>
      </c>
      <c r="C4" s="14" t="s">
        <v>3</v>
      </c>
      <c r="D4" s="15" t="s">
        <v>4</v>
      </c>
      <c r="E4" s="14" t="s">
        <v>5</v>
      </c>
      <c r="F4" s="14" t="s">
        <v>6</v>
      </c>
      <c r="G4" s="14" t="s">
        <v>7</v>
      </c>
      <c r="H4" s="16" t="s">
        <v>8</v>
      </c>
      <c r="I4" s="16" t="s">
        <v>9</v>
      </c>
      <c r="J4" s="16" t="s">
        <v>10</v>
      </c>
      <c r="K4" s="17" t="s">
        <v>11</v>
      </c>
      <c r="L4" s="18" t="s">
        <v>12</v>
      </c>
      <c r="M4" s="19" t="s">
        <v>13</v>
      </c>
      <c r="N4" s="20" t="s">
        <v>14</v>
      </c>
      <c r="O4" s="19" t="s">
        <v>15</v>
      </c>
      <c r="P4" s="21" t="s">
        <v>16</v>
      </c>
    </row>
    <row r="5" ht="15">
      <c r="A5" s="22"/>
      <c r="B5" s="23" t="s">
        <v>17</v>
      </c>
      <c r="C5" s="24"/>
      <c r="D5" s="24"/>
      <c r="E5" s="24"/>
      <c r="F5" s="24"/>
      <c r="G5" s="24"/>
      <c r="H5" s="24"/>
      <c r="I5" s="24"/>
      <c r="J5" s="24"/>
      <c r="K5" s="25"/>
      <c r="L5" s="26"/>
      <c r="M5" s="27"/>
      <c r="N5" s="27"/>
      <c r="O5" s="27"/>
      <c r="P5" s="28"/>
    </row>
    <row r="6" s="29" customFormat="1" ht="24" customHeight="1">
      <c r="A6" s="22"/>
      <c r="B6" s="30">
        <v>1</v>
      </c>
      <c r="C6" s="31" t="s">
        <v>18</v>
      </c>
      <c r="D6" s="32" t="s">
        <v>19</v>
      </c>
      <c r="E6" s="33">
        <v>2</v>
      </c>
      <c r="F6" s="34"/>
      <c r="G6" s="33" t="s">
        <v>20</v>
      </c>
      <c r="H6" s="35">
        <v>0.29999999999999999</v>
      </c>
      <c r="I6" s="35">
        <v>0.089999999999999997</v>
      </c>
      <c r="J6" s="35">
        <v>0.089999999999999997</v>
      </c>
      <c r="K6" s="36">
        <f t="shared" ref="K6:K8" si="0">H6*I6*J6</f>
        <v>0.0024299999999999999</v>
      </c>
      <c r="L6" s="37"/>
      <c r="M6" s="38"/>
      <c r="N6" s="38"/>
      <c r="O6" s="38"/>
      <c r="P6" s="38">
        <f t="shared" ref="P6:P28" si="1">K6*E6</f>
        <v>0.0048599999999999997</v>
      </c>
    </row>
    <row r="7" s="29" customFormat="1" ht="18.75" customHeight="1">
      <c r="A7" s="39"/>
      <c r="B7" s="40">
        <v>2</v>
      </c>
      <c r="C7" s="31" t="s">
        <v>21</v>
      </c>
      <c r="D7" s="32" t="s">
        <v>22</v>
      </c>
      <c r="E7" s="41">
        <v>4</v>
      </c>
      <c r="F7" s="41"/>
      <c r="G7" s="41" t="s">
        <v>20</v>
      </c>
      <c r="H7" s="41">
        <v>1.5</v>
      </c>
      <c r="I7" s="41">
        <v>0.089999999999999997</v>
      </c>
      <c r="J7" s="41">
        <v>0.089999999999999997</v>
      </c>
      <c r="K7" s="42">
        <f t="shared" si="0"/>
        <v>0.012150000000000001</v>
      </c>
      <c r="L7" s="43"/>
      <c r="M7" s="44"/>
      <c r="N7" s="44"/>
      <c r="O7" s="44"/>
      <c r="P7" s="38">
        <f t="shared" si="1"/>
        <v>0.048600000000000004</v>
      </c>
    </row>
    <row r="8" s="29" customFormat="1" ht="63.75" customHeight="1">
      <c r="A8" s="39"/>
      <c r="B8" s="45">
        <v>3</v>
      </c>
      <c r="C8" s="46" t="s">
        <v>23</v>
      </c>
      <c r="D8" s="47" t="s">
        <v>24</v>
      </c>
      <c r="E8" s="46">
        <v>6</v>
      </c>
      <c r="F8" s="46"/>
      <c r="G8" s="48">
        <v>7047</v>
      </c>
      <c r="H8" s="46">
        <v>0.074999999999999997</v>
      </c>
      <c r="I8" s="46">
        <v>0.074999999999999997</v>
      </c>
      <c r="J8" s="46">
        <v>0.26000000000000001</v>
      </c>
      <c r="K8" s="49">
        <f t="shared" si="0"/>
        <v>0.0014625</v>
      </c>
      <c r="L8" s="50">
        <v>3</v>
      </c>
      <c r="M8" s="41">
        <f t="shared" ref="M8:M28" si="2">L8*E8</f>
        <v>18</v>
      </c>
      <c r="N8" s="41"/>
      <c r="O8" s="41">
        <f t="shared" ref="O8:O28" si="3">N8*E8</f>
        <v>0</v>
      </c>
      <c r="P8" s="38">
        <f t="shared" si="1"/>
        <v>0.0087749999999999998</v>
      </c>
    </row>
    <row r="9" ht="15">
      <c r="A9" s="51"/>
      <c r="B9" s="23" t="s">
        <v>25</v>
      </c>
      <c r="C9" s="24"/>
      <c r="D9" s="24"/>
      <c r="E9" s="24"/>
      <c r="F9" s="24"/>
      <c r="G9" s="24"/>
      <c r="H9" s="24"/>
      <c r="I9" s="24"/>
      <c r="J9" s="24"/>
      <c r="K9" s="25"/>
      <c r="L9" s="43"/>
      <c r="M9" s="41">
        <f t="shared" si="2"/>
        <v>0</v>
      </c>
      <c r="N9" s="44"/>
      <c r="O9" s="41">
        <f t="shared" si="3"/>
        <v>0</v>
      </c>
      <c r="P9" s="38">
        <f t="shared" si="1"/>
        <v>0</v>
      </c>
    </row>
    <row r="10" s="29" customFormat="1" ht="24.75" customHeight="1">
      <c r="A10" s="52" t="s">
        <v>26</v>
      </c>
      <c r="B10" s="30">
        <v>4</v>
      </c>
      <c r="C10" s="53" t="s">
        <v>27</v>
      </c>
      <c r="D10" s="53" t="s">
        <v>28</v>
      </c>
      <c r="E10" s="54">
        <v>4</v>
      </c>
      <c r="F10" s="55"/>
      <c r="G10" s="56">
        <v>3020</v>
      </c>
      <c r="H10" s="57">
        <v>1.5</v>
      </c>
      <c r="I10" s="57">
        <v>0.029999999999999999</v>
      </c>
      <c r="J10" s="57">
        <v>0.089999999999999997</v>
      </c>
      <c r="K10" s="58">
        <f t="shared" ref="K10:K28" si="4">H10*I10*J10</f>
        <v>0.0040499999999999998</v>
      </c>
      <c r="L10" s="37">
        <v>2</v>
      </c>
      <c r="M10" s="41">
        <f t="shared" si="2"/>
        <v>8</v>
      </c>
      <c r="N10" s="38"/>
      <c r="O10" s="41">
        <f t="shared" si="3"/>
        <v>0</v>
      </c>
      <c r="P10" s="38">
        <f t="shared" si="1"/>
        <v>0.016199999999999999</v>
      </c>
    </row>
    <row r="11" s="29" customFormat="1" ht="24.75" customHeight="1">
      <c r="A11" s="59"/>
      <c r="B11" s="40">
        <v>5</v>
      </c>
      <c r="C11" s="53" t="s">
        <v>27</v>
      </c>
      <c r="D11" s="53" t="s">
        <v>29</v>
      </c>
      <c r="E11" s="54">
        <v>4</v>
      </c>
      <c r="F11" s="55"/>
      <c r="G11" s="60">
        <v>5017</v>
      </c>
      <c r="H11" s="57">
        <v>1.5</v>
      </c>
      <c r="I11" s="57">
        <v>0.029999999999999999</v>
      </c>
      <c r="J11" s="57">
        <v>0.089999999999999997</v>
      </c>
      <c r="K11" s="58">
        <f t="shared" si="4"/>
        <v>0.0040499999999999998</v>
      </c>
      <c r="L11" s="37">
        <v>2</v>
      </c>
      <c r="M11" s="41">
        <f t="shared" si="2"/>
        <v>8</v>
      </c>
      <c r="N11" s="38"/>
      <c r="O11" s="41">
        <f t="shared" si="3"/>
        <v>0</v>
      </c>
      <c r="P11" s="38">
        <f t="shared" si="1"/>
        <v>0.016199999999999999</v>
      </c>
    </row>
    <row r="12" s="29" customFormat="1" ht="24.75" customHeight="1">
      <c r="A12" s="59"/>
      <c r="B12" s="40">
        <v>6</v>
      </c>
      <c r="C12" s="53" t="s">
        <v>27</v>
      </c>
      <c r="D12" s="53" t="s">
        <v>30</v>
      </c>
      <c r="E12" s="54">
        <v>4</v>
      </c>
      <c r="F12" s="55"/>
      <c r="G12" s="61">
        <v>1023</v>
      </c>
      <c r="H12" s="57">
        <v>1.5</v>
      </c>
      <c r="I12" s="57">
        <v>0.029999999999999999</v>
      </c>
      <c r="J12" s="57">
        <v>0.089999999999999997</v>
      </c>
      <c r="K12" s="58">
        <f t="shared" si="4"/>
        <v>0.0040499999999999998</v>
      </c>
      <c r="L12" s="37">
        <v>2</v>
      </c>
      <c r="M12" s="41">
        <f t="shared" si="2"/>
        <v>8</v>
      </c>
      <c r="N12" s="38"/>
      <c r="O12" s="41">
        <f t="shared" si="3"/>
        <v>0</v>
      </c>
      <c r="P12" s="38">
        <f t="shared" si="1"/>
        <v>0.016199999999999999</v>
      </c>
    </row>
    <row r="13" s="29" customFormat="1" ht="24.75" customHeight="1">
      <c r="A13" s="59"/>
      <c r="B13" s="40">
        <v>5</v>
      </c>
      <c r="C13" s="53"/>
      <c r="D13" s="53" t="s">
        <v>31</v>
      </c>
      <c r="E13" s="54">
        <v>4</v>
      </c>
      <c r="F13" s="55"/>
      <c r="G13" s="60">
        <v>5017</v>
      </c>
      <c r="H13" s="57">
        <v>0.20000000000000001</v>
      </c>
      <c r="I13" s="57">
        <v>0.029999999999999999</v>
      </c>
      <c r="J13" s="57">
        <v>0.089999999999999997</v>
      </c>
      <c r="K13" s="58">
        <f t="shared" si="4"/>
        <v>0.00054000000000000001</v>
      </c>
      <c r="L13" s="37">
        <v>2</v>
      </c>
      <c r="M13" s="41">
        <f t="shared" ref="M13:M14" si="5">L13*E13</f>
        <v>8</v>
      </c>
      <c r="N13" s="38"/>
      <c r="O13" s="41">
        <f t="shared" ref="O13:O14" si="6">N13*E13</f>
        <v>0</v>
      </c>
      <c r="P13" s="38">
        <f t="shared" ref="P13:P14" si="7">K13*E13</f>
        <v>0.00216</v>
      </c>
    </row>
    <row r="14" ht="15">
      <c r="A14" s="59"/>
      <c r="B14" s="23" t="s">
        <v>32</v>
      </c>
      <c r="C14" s="24"/>
      <c r="D14" s="24"/>
      <c r="E14" s="24"/>
      <c r="F14" s="24"/>
      <c r="G14" s="24"/>
      <c r="H14" s="24"/>
      <c r="I14" s="24"/>
      <c r="J14" s="24"/>
      <c r="K14" s="25"/>
      <c r="L14" s="43"/>
      <c r="M14" s="41">
        <f t="shared" si="5"/>
        <v>0</v>
      </c>
      <c r="N14" s="44"/>
      <c r="O14" s="41">
        <f t="shared" si="6"/>
        <v>0</v>
      </c>
      <c r="P14" s="38">
        <f t="shared" si="7"/>
        <v>0</v>
      </c>
    </row>
    <row r="15" s="29" customFormat="1" ht="51" customHeight="1">
      <c r="A15" s="59"/>
      <c r="B15" s="40">
        <v>7</v>
      </c>
      <c r="C15" s="62" t="s">
        <v>33</v>
      </c>
      <c r="D15" s="20" t="s">
        <v>34</v>
      </c>
      <c r="E15" s="20">
        <v>1</v>
      </c>
      <c r="F15" s="20"/>
      <c r="G15" s="63">
        <v>3020</v>
      </c>
      <c r="H15" s="20">
        <v>1.5</v>
      </c>
      <c r="I15" s="20">
        <v>0.47999999999999998</v>
      </c>
      <c r="J15" s="20">
        <v>0.012</v>
      </c>
      <c r="K15" s="64">
        <f t="shared" si="4"/>
        <v>0.0086400000000000001</v>
      </c>
      <c r="L15" s="37">
        <v>4</v>
      </c>
      <c r="M15" s="41">
        <f t="shared" si="2"/>
        <v>4</v>
      </c>
      <c r="N15" s="38"/>
      <c r="O15" s="41">
        <f t="shared" si="3"/>
        <v>0</v>
      </c>
      <c r="P15" s="38">
        <f t="shared" si="1"/>
        <v>0.0086400000000000001</v>
      </c>
    </row>
    <row r="16" s="29" customFormat="1" ht="75" customHeight="1">
      <c r="A16" s="59"/>
      <c r="B16" s="40">
        <v>8</v>
      </c>
      <c r="C16" s="62" t="s">
        <v>35</v>
      </c>
      <c r="D16" s="20" t="s">
        <v>36</v>
      </c>
      <c r="E16" s="20">
        <v>2</v>
      </c>
      <c r="F16" s="20"/>
      <c r="G16" s="65">
        <v>1023</v>
      </c>
      <c r="H16" s="20">
        <v>0.69999999999999996</v>
      </c>
      <c r="I16" s="20">
        <v>0.47999999999999998</v>
      </c>
      <c r="J16" s="20">
        <v>0.012</v>
      </c>
      <c r="K16" s="64">
        <f t="shared" si="4"/>
        <v>0.004032</v>
      </c>
      <c r="L16" s="37">
        <v>4</v>
      </c>
      <c r="M16" s="41">
        <f t="shared" si="2"/>
        <v>8</v>
      </c>
      <c r="N16" s="38"/>
      <c r="O16" s="41">
        <f t="shared" si="3"/>
        <v>0</v>
      </c>
      <c r="P16" s="38">
        <f t="shared" si="1"/>
        <v>0.008064</v>
      </c>
    </row>
    <row r="17" s="29" customFormat="1" ht="91.5" customHeight="1">
      <c r="A17" s="59"/>
      <c r="B17" s="40">
        <v>9</v>
      </c>
      <c r="C17" s="62" t="s">
        <v>37</v>
      </c>
      <c r="D17" s="20" t="s">
        <v>38</v>
      </c>
      <c r="E17" s="20">
        <v>1</v>
      </c>
      <c r="F17" s="20"/>
      <c r="G17" s="63">
        <v>3020</v>
      </c>
      <c r="H17" s="20">
        <v>1.6599999999999999</v>
      </c>
      <c r="I17" s="20">
        <v>0.78000000000000003</v>
      </c>
      <c r="J17" s="20">
        <v>0.014999999999999999</v>
      </c>
      <c r="K17" s="64">
        <f t="shared" si="4"/>
        <v>0.019421999999999998</v>
      </c>
      <c r="L17" s="37"/>
      <c r="M17" s="41">
        <f t="shared" si="2"/>
        <v>0</v>
      </c>
      <c r="N17" s="38"/>
      <c r="O17" s="41">
        <f t="shared" si="3"/>
        <v>0</v>
      </c>
      <c r="P17" s="38">
        <f t="shared" si="1"/>
        <v>0.019421999999999998</v>
      </c>
    </row>
    <row r="18" s="29" customFormat="1" ht="84" customHeight="1">
      <c r="A18" s="59"/>
      <c r="B18" s="40">
        <v>10</v>
      </c>
      <c r="C18" s="62" t="s">
        <v>39</v>
      </c>
      <c r="D18" s="20" t="s">
        <v>40</v>
      </c>
      <c r="E18" s="20">
        <v>1</v>
      </c>
      <c r="F18" s="20"/>
      <c r="G18" s="63">
        <v>3020</v>
      </c>
      <c r="H18" s="20">
        <v>1.6599999999999999</v>
      </c>
      <c r="I18" s="20">
        <v>0.88</v>
      </c>
      <c r="J18" s="20">
        <v>0.014999999999999999</v>
      </c>
      <c r="K18" s="64">
        <f t="shared" si="4"/>
        <v>0.021911999999999997</v>
      </c>
      <c r="L18" s="37">
        <v>2</v>
      </c>
      <c r="M18" s="41">
        <f t="shared" si="2"/>
        <v>2</v>
      </c>
      <c r="N18" s="38"/>
      <c r="O18" s="41">
        <f t="shared" si="3"/>
        <v>0</v>
      </c>
      <c r="P18" s="38">
        <f t="shared" si="1"/>
        <v>0.021911999999999997</v>
      </c>
    </row>
    <row r="19" s="29" customFormat="1" ht="75.75" customHeight="1">
      <c r="A19" s="59"/>
      <c r="B19" s="40">
        <v>11</v>
      </c>
      <c r="C19" s="62" t="s">
        <v>41</v>
      </c>
      <c r="D19" s="20" t="s">
        <v>42</v>
      </c>
      <c r="E19" s="20">
        <v>2</v>
      </c>
      <c r="F19" s="20"/>
      <c r="G19" s="65">
        <v>1023</v>
      </c>
      <c r="H19" s="20">
        <v>1.589</v>
      </c>
      <c r="I19" s="20">
        <v>0.69999999999999996</v>
      </c>
      <c r="J19" s="20">
        <v>0.012</v>
      </c>
      <c r="K19" s="64">
        <f t="shared" si="4"/>
        <v>0.013347599999999998</v>
      </c>
      <c r="L19" s="37">
        <v>4</v>
      </c>
      <c r="M19" s="41">
        <f t="shared" si="2"/>
        <v>8</v>
      </c>
      <c r="N19" s="38"/>
      <c r="O19" s="41">
        <f t="shared" si="3"/>
        <v>0</v>
      </c>
      <c r="P19" s="38">
        <f t="shared" si="1"/>
        <v>0.026695199999999995</v>
      </c>
    </row>
    <row r="20" s="29" customFormat="1" ht="89.25" customHeight="1">
      <c r="A20" s="59"/>
      <c r="B20" s="40">
        <v>12</v>
      </c>
      <c r="C20" s="62" t="s">
        <v>43</v>
      </c>
      <c r="D20" s="20" t="s">
        <v>44</v>
      </c>
      <c r="E20" s="20">
        <v>2</v>
      </c>
      <c r="F20" s="20"/>
      <c r="G20" s="66">
        <v>5017</v>
      </c>
      <c r="H20" s="20">
        <v>0.98399999999999999</v>
      </c>
      <c r="I20" s="20">
        <v>0.80000000000000004</v>
      </c>
      <c r="J20" s="20">
        <v>0.012</v>
      </c>
      <c r="K20" s="64">
        <f t="shared" si="4"/>
        <v>0.0094464000000000006</v>
      </c>
      <c r="L20" s="37"/>
      <c r="M20" s="41">
        <f t="shared" si="2"/>
        <v>0</v>
      </c>
      <c r="N20" s="38"/>
      <c r="O20" s="41">
        <f t="shared" si="3"/>
        <v>0</v>
      </c>
      <c r="P20" s="38">
        <f t="shared" si="1"/>
        <v>0.018892800000000001</v>
      </c>
    </row>
    <row r="21" s="29" customFormat="1" ht="80.25" customHeight="1">
      <c r="A21" s="59"/>
      <c r="B21" s="40">
        <v>13</v>
      </c>
      <c r="C21" s="62" t="s">
        <v>45</v>
      </c>
      <c r="D21" s="20" t="s">
        <v>46</v>
      </c>
      <c r="E21" s="20">
        <v>1</v>
      </c>
      <c r="F21" s="20"/>
      <c r="G21" s="66">
        <v>5017</v>
      </c>
      <c r="H21" s="20">
        <v>1.6000000000000001</v>
      </c>
      <c r="I21" s="20">
        <v>1.2270000000000001</v>
      </c>
      <c r="J21" s="20">
        <v>0.012</v>
      </c>
      <c r="K21" s="64">
        <f t="shared" si="4"/>
        <v>0.023558400000000004</v>
      </c>
      <c r="L21" s="37"/>
      <c r="M21" s="41">
        <f t="shared" si="2"/>
        <v>0</v>
      </c>
      <c r="N21" s="38"/>
      <c r="O21" s="41"/>
      <c r="P21" s="38">
        <f t="shared" si="1"/>
        <v>0.023558400000000004</v>
      </c>
    </row>
    <row r="22" s="29" customFormat="1" ht="69.75" customHeight="1">
      <c r="A22" s="67"/>
      <c r="B22" s="40">
        <v>13</v>
      </c>
      <c r="C22" s="41" t="s">
        <v>47</v>
      </c>
      <c r="D22" s="68" t="s">
        <v>48</v>
      </c>
      <c r="E22" s="41">
        <v>18</v>
      </c>
      <c r="F22" s="41"/>
      <c r="G22" s="69">
        <v>7047</v>
      </c>
      <c r="H22" s="41">
        <v>0.050000000000000003</v>
      </c>
      <c r="I22" s="41">
        <v>0.050000000000000003</v>
      </c>
      <c r="J22" s="41">
        <v>0.029999999999999999</v>
      </c>
      <c r="K22" s="70">
        <f t="shared" si="4"/>
        <v>7.5000000000000007e-05</v>
      </c>
      <c r="L22" s="50"/>
      <c r="M22" s="41">
        <f t="shared" si="2"/>
        <v>0</v>
      </c>
      <c r="N22" s="41">
        <v>2</v>
      </c>
      <c r="O22" s="41">
        <f t="shared" si="3"/>
        <v>36</v>
      </c>
      <c r="P22" s="38">
        <f t="shared" si="1"/>
        <v>0.0013500000000000001</v>
      </c>
    </row>
    <row r="23" s="29" customFormat="1" ht="81" customHeight="1">
      <c r="A23" s="71"/>
      <c r="B23" s="72">
        <v>14</v>
      </c>
      <c r="C23" s="73" t="s">
        <v>49</v>
      </c>
      <c r="D23" s="74" t="s">
        <v>50</v>
      </c>
      <c r="E23" s="73">
        <v>3</v>
      </c>
      <c r="G23" s="75" t="s">
        <v>51</v>
      </c>
      <c r="H23" s="73">
        <v>0.10000000000000001</v>
      </c>
      <c r="I23" s="73">
        <v>0.035000000000000003</v>
      </c>
      <c r="J23" s="73">
        <v>0.01</v>
      </c>
      <c r="K23" s="76">
        <f t="shared" si="4"/>
        <v>3.5000000000000004e-05</v>
      </c>
      <c r="L23" s="50"/>
      <c r="M23" s="41">
        <f t="shared" si="2"/>
        <v>0</v>
      </c>
      <c r="N23" s="41"/>
      <c r="O23" s="41">
        <f t="shared" si="3"/>
        <v>0</v>
      </c>
      <c r="P23" s="38">
        <f t="shared" si="1"/>
        <v>0.000105</v>
      </c>
    </row>
    <row r="24" s="29" customFormat="1" ht="25.5" customHeight="1">
      <c r="A24" s="51"/>
      <c r="B24" s="77" t="s">
        <v>52</v>
      </c>
      <c r="C24" s="78"/>
      <c r="D24" s="78"/>
      <c r="E24" s="78"/>
      <c r="F24" s="78"/>
      <c r="G24" s="78"/>
      <c r="H24" s="78"/>
      <c r="I24" s="78"/>
      <c r="J24" s="78"/>
      <c r="K24" s="79"/>
      <c r="L24" s="50"/>
      <c r="M24" s="41">
        <f t="shared" si="2"/>
        <v>0</v>
      </c>
      <c r="N24" s="41"/>
      <c r="O24" s="41">
        <f t="shared" si="3"/>
        <v>0</v>
      </c>
      <c r="P24" s="38">
        <f t="shared" si="1"/>
        <v>0</v>
      </c>
    </row>
    <row r="25" s="29" customFormat="1" ht="97.5" customHeight="1">
      <c r="B25" s="80">
        <v>15</v>
      </c>
      <c r="C25" s="81" t="s">
        <v>53</v>
      </c>
      <c r="D25" s="82" t="s">
        <v>54</v>
      </c>
      <c r="E25" s="83">
        <v>2</v>
      </c>
      <c r="F25" s="83"/>
      <c r="G25" s="84">
        <v>7047</v>
      </c>
      <c r="H25" s="83">
        <v>1.02</v>
      </c>
      <c r="I25" s="83">
        <v>0.059999999999999998</v>
      </c>
      <c r="J25" s="85">
        <v>0.20999999999999999</v>
      </c>
      <c r="K25" s="86">
        <f t="shared" si="4"/>
        <v>0.012851999999999999</v>
      </c>
      <c r="L25" s="87"/>
      <c r="M25" s="41">
        <f t="shared" si="2"/>
        <v>0</v>
      </c>
      <c r="N25" s="38">
        <v>4</v>
      </c>
      <c r="O25" s="41">
        <f t="shared" si="3"/>
        <v>8</v>
      </c>
      <c r="P25" s="38">
        <f t="shared" si="1"/>
        <v>0.025703999999999998</v>
      </c>
    </row>
    <row r="26" s="29" customFormat="1" ht="25.5" customHeight="1">
      <c r="A26" s="51"/>
      <c r="B26" s="77" t="s">
        <v>55</v>
      </c>
      <c r="C26" s="78"/>
      <c r="D26" s="78"/>
      <c r="E26" s="78"/>
      <c r="F26" s="78"/>
      <c r="G26" s="78"/>
      <c r="H26" s="78"/>
      <c r="I26" s="78"/>
      <c r="J26" s="78"/>
      <c r="K26" s="79"/>
      <c r="L26" s="50"/>
      <c r="M26" s="41">
        <f t="shared" si="2"/>
        <v>0</v>
      </c>
      <c r="N26" s="41"/>
      <c r="O26" s="41">
        <f t="shared" si="3"/>
        <v>0</v>
      </c>
      <c r="P26" s="38">
        <f t="shared" si="1"/>
        <v>0</v>
      </c>
    </row>
    <row r="27" ht="58.5" customHeight="1">
      <c r="A27" s="88"/>
      <c r="B27" s="30">
        <v>16</v>
      </c>
      <c r="C27" s="53" t="s">
        <v>56</v>
      </c>
      <c r="D27" s="89" t="s">
        <v>57</v>
      </c>
      <c r="E27" s="90">
        <v>44</v>
      </c>
      <c r="F27" s="91"/>
      <c r="G27" s="92" t="s">
        <v>58</v>
      </c>
      <c r="H27" s="92">
        <v>0.027</v>
      </c>
      <c r="I27" s="92">
        <v>0.027</v>
      </c>
      <c r="J27" s="92">
        <v>0.016</v>
      </c>
      <c r="K27" s="93">
        <f t="shared" si="4"/>
        <v>1.1663999999999999e-05</v>
      </c>
      <c r="L27" s="43"/>
      <c r="M27" s="41">
        <f t="shared" si="2"/>
        <v>0</v>
      </c>
      <c r="N27" s="44"/>
      <c r="O27" s="41">
        <f t="shared" si="3"/>
        <v>0</v>
      </c>
      <c r="P27" s="38">
        <f t="shared" si="1"/>
        <v>0.00051321599999999993</v>
      </c>
    </row>
    <row r="28" ht="73.5" customHeight="1">
      <c r="A28" s="88"/>
      <c r="B28" s="72">
        <v>17</v>
      </c>
      <c r="C28" s="53" t="s">
        <v>59</v>
      </c>
      <c r="D28" s="74" t="s">
        <v>60</v>
      </c>
      <c r="E28" s="94">
        <v>72</v>
      </c>
      <c r="F28" s="95"/>
      <c r="G28" s="96" t="s">
        <v>58</v>
      </c>
      <c r="H28" s="96">
        <v>0.035999999999999997</v>
      </c>
      <c r="I28" s="96">
        <v>0.035999999999999997</v>
      </c>
      <c r="J28" s="96">
        <v>0.023</v>
      </c>
      <c r="K28" s="97">
        <f t="shared" si="4"/>
        <v>2.9807999999999996e-05</v>
      </c>
      <c r="L28" s="43"/>
      <c r="M28" s="41">
        <f t="shared" si="2"/>
        <v>0</v>
      </c>
      <c r="N28" s="44"/>
      <c r="O28" s="41">
        <f t="shared" si="3"/>
        <v>0</v>
      </c>
      <c r="P28" s="38">
        <f t="shared" si="1"/>
        <v>0.0021461759999999996</v>
      </c>
    </row>
    <row r="29">
      <c r="M29">
        <f>SUM(M8:M28)</f>
        <v>72</v>
      </c>
      <c r="O29">
        <f>SUM(O8:O28)</f>
        <v>44</v>
      </c>
      <c r="P29">
        <f>SUM(P6:P28)</f>
        <v>0.2699977919999999</v>
      </c>
    </row>
  </sheetData>
  <mergeCells count="9">
    <mergeCell ref="A1:K1"/>
    <mergeCell ref="B2:K2"/>
    <mergeCell ref="B3:K3"/>
    <mergeCell ref="B5:K5"/>
    <mergeCell ref="B9:K9"/>
    <mergeCell ref="A10:A20"/>
    <mergeCell ref="B14:K14"/>
    <mergeCell ref="B24:K24"/>
    <mergeCell ref="B26:K2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2" firstPageNumber="1" fitToWidth="1" fitToHeight="0" pageOrder="downThenOver" orientation="portrait" usePrinterDefaults="1" blackAndWhite="0" draft="0" cellComments="none" useFirstPageNumber="1" errors="displayed" horizontalDpi="0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Вероника Прокина</cp:lastModifiedBy>
  <cp:revision>1</cp:revision>
  <dcterms:created xsi:type="dcterms:W3CDTF">2017-04-27T07:18:00Z</dcterms:created>
  <dcterms:modified xsi:type="dcterms:W3CDTF">2024-05-14T15:25:19Z</dcterms:modified>
</cp:coreProperties>
</file>