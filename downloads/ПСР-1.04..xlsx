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g" ContentType="image/jpe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360" yWindow="15" windowWidth="20955" windowHeight="9720" activeTab="0"/>
  </bookViews>
  <sheets>
    <sheet name="Лист1" sheetId="1" state="visible" r:id="rId1"/>
    <sheet name="Лист2" sheetId="2" state="visible" r:id="rId2"/>
    <sheet name="Лист3" sheetId="3" state="visible" r:id="rId3"/>
  </sheets>
  <calcPr/>
</workbook>
</file>

<file path=xl/sharedStrings.xml><?xml version="1.0" encoding="utf-8"?>
<sst xmlns="http://schemas.openxmlformats.org/spreadsheetml/2006/main" count="39" uniqueCount="39">
  <si>
    <t>ПСР-1.04</t>
  </si>
  <si>
    <t xml:space="preserve">Размер 1,76 х 1,76 х 0,44 м</t>
  </si>
  <si>
    <t xml:space="preserve">№ п/п</t>
  </si>
  <si>
    <t>Артикул</t>
  </si>
  <si>
    <t>Наименование</t>
  </si>
  <si>
    <t>Кол-во</t>
  </si>
  <si>
    <t>Изображение</t>
  </si>
  <si>
    <t>цвет</t>
  </si>
  <si>
    <t xml:space="preserve">Длина, м</t>
  </si>
  <si>
    <t xml:space="preserve">Ширина, м</t>
  </si>
  <si>
    <t xml:space="preserve">Высота, м</t>
  </si>
  <si>
    <t xml:space="preserve">Объем, м3</t>
  </si>
  <si>
    <t xml:space="preserve">Площадь окрашиваемой поверхности, м2</t>
  </si>
  <si>
    <t xml:space="preserve">Метизы крепления на 1 комплектующую</t>
  </si>
  <si>
    <t>0002МП</t>
  </si>
  <si>
    <t xml:space="preserve">Закладная для песочницы (уголок 50х50х500)</t>
  </si>
  <si>
    <t xml:space="preserve">Болт мебельный М8х40 - 4 шт.                               Шайба м8 увел. - 4 шт.                    Гайка м8 - 4 шт     </t>
  </si>
  <si>
    <t>0001МП</t>
  </si>
  <si>
    <t xml:space="preserve">Ручка песочницы ПСР-1.04</t>
  </si>
  <si>
    <t>0003МП</t>
  </si>
  <si>
    <t xml:space="preserve">Уголок 55х55х40</t>
  </si>
  <si>
    <t xml:space="preserve">Болт мебельный М6х40 - 2 шт.                               Шайба м8 увел. - 2 шт.                    Гайка м6 - 2 шт     </t>
  </si>
  <si>
    <t>000003</t>
  </si>
  <si>
    <t xml:space="preserve">Борт верхний (песочницы)
1707 x 145 x 21</t>
  </si>
  <si>
    <t>000004</t>
  </si>
  <si>
    <t xml:space="preserve">Борт боковой (песочницы)
760 x 236 x 21 </t>
  </si>
  <si>
    <t>000002</t>
  </si>
  <si>
    <t xml:space="preserve">Соединитель бортов (песочницы)
300 x 200 x 15  </t>
  </si>
  <si>
    <t xml:space="preserve">Болт мебельный М6х50 - 4 шт.                               Шайба м8 увел. - 4 шт.                    Гайка м6 - 4 шт     </t>
  </si>
  <si>
    <t>000005</t>
  </si>
  <si>
    <t xml:space="preserve">Столик угловой (песочницы)
411 x 411 x 15  </t>
  </si>
  <si>
    <t>000001</t>
  </si>
  <si>
    <t xml:space="preserve">Крышка (песочницы)
1590 x 875 x 15 </t>
  </si>
  <si>
    <t>КЧМ6КС</t>
  </si>
  <si>
    <t xml:space="preserve">Заглушка К4М6КС</t>
  </si>
  <si>
    <t xml:space="preserve">Заглушка К4М8КС</t>
  </si>
  <si>
    <t xml:space="preserve">Петля карточная BF 2 (50 мм) СР Хром</t>
  </si>
  <si>
    <t xml:space="preserve">Саморез 3,5х13 - 4 шт</t>
  </si>
  <si>
    <t>Объем: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</si>
</sst>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3">
    <numFmt numFmtId="160" formatCode="_-* #,##0.00\ _₽_-;\-* #,##0.00\ _₽_-;_-* &quot;-&quot;??\ _₽_-;_-@_-"/>
    <numFmt numFmtId="161" formatCode="0.000"/>
    <numFmt numFmtId="162" formatCode="0.00000"/>
  </numFmts>
  <fonts count="14">
    <font>
      <sz val="11.000000"/>
      <color theme="1"/>
      <name val="Calibri"/>
      <scheme val="minor"/>
    </font>
    <font>
      <sz val="10.000000"/>
      <color theme="1"/>
      <name val="Calibri"/>
      <scheme val="minor"/>
    </font>
    <font>
      <sz val="9.000000"/>
      <color theme="1"/>
      <name val="Arial"/>
    </font>
    <font>
      <sz val="10.000000"/>
      <color theme="1"/>
      <name val="Arial"/>
    </font>
    <font>
      <i/>
      <sz val="11.000000"/>
      <color theme="1"/>
      <name val="Arial"/>
    </font>
    <font>
      <i/>
      <sz val="10.000000"/>
      <color theme="1"/>
      <name val="Arial"/>
    </font>
    <font>
      <sz val="8.000000"/>
      <color theme="1"/>
      <name val="Arial"/>
    </font>
    <font>
      <b/>
      <sz val="8.000000"/>
      <color theme="1"/>
      <name val="Arial"/>
    </font>
    <font>
      <b/>
      <sz val="12.000000"/>
      <color theme="1"/>
      <name val="Arial"/>
    </font>
    <font>
      <sz val="11.000000"/>
      <color theme="1"/>
      <name val="Arial"/>
    </font>
    <font>
      <sz val="11.000000"/>
      <name val="Calibri"/>
      <scheme val="minor"/>
    </font>
    <font>
      <sz val="11.000000"/>
      <color theme="1"/>
      <name val="Cambria"/>
      <scheme val="major"/>
    </font>
    <font>
      <b/>
      <sz val="11.000000"/>
      <color theme="1"/>
      <name val="Calibri"/>
      <scheme val="minor"/>
    </font>
    <font>
      <b/>
      <sz val="12.000000"/>
      <color theme="1"/>
      <name val="Calibri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92D050"/>
        <bgColor rgb="FF92D050"/>
      </patternFill>
    </fill>
    <fill>
      <patternFill patternType="solid">
        <fgColor rgb="FF00B0F0"/>
        <bgColor rgb="FF00B0F0"/>
      </patternFill>
    </fill>
    <fill>
      <patternFill patternType="solid">
        <fgColor rgb="FFFFC000"/>
        <bgColor rgb="FFFFC000"/>
      </patternFill>
    </fill>
  </fills>
  <borders count="20">
    <border>
      <left style="none"/>
      <right style="none"/>
      <top style="none"/>
      <bottom style="none"/>
      <diagonal style="none"/>
    </border>
    <border>
      <left style="medium">
        <color auto="1"/>
      </left>
      <right style="thin">
        <color auto="1"/>
      </right>
      <top style="medium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medium">
        <color auto="1"/>
      </top>
      <bottom style="none"/>
      <diagonal style="none"/>
    </border>
    <border>
      <left style="thin">
        <color auto="1"/>
      </left>
      <right style="medium">
        <color auto="1"/>
      </right>
      <top style="medium">
        <color auto="1"/>
      </top>
      <bottom style="none"/>
      <diagonal style="none"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 style="none"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 style="none"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 style="none"/>
    </border>
    <border>
      <left style="medium">
        <color auto="1"/>
      </left>
      <right style="none"/>
      <top style="none"/>
      <bottom style="none"/>
      <diagonal style="none"/>
    </border>
    <border>
      <left style="none"/>
      <right style="medium">
        <color auto="1"/>
      </right>
      <top style="none"/>
      <bottom style="none"/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 style="none"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 style="none"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 style="none"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</borders>
  <cellStyleXfs count="2">
    <xf fontId="0" fillId="0" borderId="0" numFmtId="0" applyNumberFormat="1" applyFont="1" applyFill="1" applyBorder="1"/>
    <xf fontId="0" fillId="0" borderId="0" numFmtId="160" applyNumberFormat="1" applyFont="0" applyFill="0" applyBorder="0" applyProtection="0"/>
  </cellStyleXfs>
  <cellXfs count="60">
    <xf fontId="0" fillId="0" borderId="0" numFmtId="0" xfId="0"/>
    <xf fontId="0" fillId="0" borderId="0" numFmtId="0" xfId="0" applyAlignment="1">
      <alignment horizontal="center" vertical="center"/>
    </xf>
    <xf fontId="0" fillId="0" borderId="1" numFmtId="0" xfId="0" applyBorder="1" applyAlignment="1">
      <alignment horizontal="center"/>
    </xf>
    <xf fontId="0" fillId="0" borderId="2" numFmtId="0" xfId="0" applyBorder="1" applyAlignment="1">
      <alignment horizontal="center"/>
    </xf>
    <xf fontId="0" fillId="0" borderId="3" numFmtId="0" xfId="0" applyBorder="1" applyAlignment="1">
      <alignment horizontal="center"/>
    </xf>
    <xf fontId="0" fillId="0" borderId="4" numFmtId="0" xfId="0" applyBorder="1" applyAlignment="1">
      <alignment horizontal="center" vertical="center"/>
    </xf>
    <xf fontId="0" fillId="0" borderId="5" numFmtId="0" xfId="0" applyBorder="1" applyAlignment="1">
      <alignment horizontal="center" vertical="center"/>
    </xf>
    <xf fontId="0" fillId="0" borderId="6" numFmtId="0" xfId="0" applyBorder="1" applyAlignment="1">
      <alignment horizontal="center" vertical="center"/>
    </xf>
    <xf fontId="0" fillId="0" borderId="7" numFmtId="0" xfId="0" applyBorder="1" applyAlignment="1">
      <alignment horizontal="center" vertical="center"/>
    </xf>
    <xf fontId="0" fillId="0" borderId="8" numFmtId="0" xfId="0" applyBorder="1" applyAlignment="1">
      <alignment horizontal="center" vertical="center"/>
    </xf>
    <xf fontId="1" fillId="0" borderId="1" numFmtId="0" xfId="0" applyFont="1" applyBorder="1" applyAlignment="1">
      <alignment horizontal="center" vertical="center"/>
    </xf>
    <xf fontId="0" fillId="0" borderId="2" numFmtId="0" xfId="0" applyBorder="1" applyAlignment="1">
      <alignment horizontal="center" vertical="center"/>
    </xf>
    <xf fontId="1" fillId="0" borderId="2" numFmtId="0" xfId="0" applyFont="1" applyBorder="1" applyAlignment="1">
      <alignment horizontal="center" vertical="center" wrapText="1"/>
    </xf>
    <xf fontId="1" fillId="0" borderId="2" numFmtId="0" xfId="0" applyFont="1" applyBorder="1" applyAlignment="1">
      <alignment horizontal="center" vertical="center"/>
    </xf>
    <xf fontId="2" fillId="0" borderId="2" numFmtId="0" xfId="0" applyFont="1" applyBorder="1" applyAlignment="1">
      <alignment horizontal="center" vertical="center" wrapText="1"/>
    </xf>
    <xf fontId="2" fillId="0" borderId="3" numFmtId="0" xfId="0" applyFont="1" applyBorder="1" applyAlignment="1">
      <alignment horizontal="center" vertical="center" wrapText="1"/>
    </xf>
    <xf fontId="3" fillId="0" borderId="9" numFmtId="0" xfId="0" applyFont="1" applyBorder="1" applyAlignment="1">
      <alignment horizontal="center" vertical="center" wrapText="1"/>
    </xf>
    <xf fontId="3" fillId="0" borderId="10" numFmtId="0" xfId="0" applyFont="1" applyBorder="1" applyAlignment="1">
      <alignment horizontal="center" vertical="center" wrapText="1"/>
    </xf>
    <xf fontId="3" fillId="0" borderId="0" numFmtId="0" xfId="0" applyFont="1" applyAlignment="1">
      <alignment horizontal="center" vertical="center" wrapText="1"/>
    </xf>
    <xf fontId="3" fillId="0" borderId="11" numFmtId="0" xfId="0" applyFont="1" applyBorder="1" applyAlignment="1">
      <alignment horizontal="center" vertical="center" wrapText="1"/>
    </xf>
    <xf fontId="3" fillId="0" borderId="12" numFmtId="0" xfId="0" applyFont="1" applyBorder="1" applyAlignment="1">
      <alignment horizontal="center" vertical="center" wrapText="1"/>
    </xf>
    <xf fontId="4" fillId="0" borderId="12" numFmtId="0" xfId="0" applyFont="1" applyBorder="1" applyAlignment="1">
      <alignment horizontal="center" vertical="center" wrapText="1"/>
    </xf>
    <xf fontId="5" fillId="0" borderId="12" numFmtId="0" xfId="0" applyFont="1" applyBorder="1" applyAlignment="1">
      <alignment horizontal="center" vertical="center" wrapText="1"/>
    </xf>
    <xf fontId="0" fillId="2" borderId="12" numFmtId="0" xfId="0" applyFill="1" applyBorder="1" applyAlignment="1">
      <alignment horizontal="center" vertical="center"/>
    </xf>
    <xf fontId="2" fillId="0" borderId="12" numFmtId="0" xfId="0" applyFont="1" applyBorder="1" applyAlignment="1">
      <alignment horizontal="center" vertical="center" wrapText="1"/>
    </xf>
    <xf fontId="2" fillId="0" borderId="13" numFmtId="0" xfId="0" applyFont="1" applyBorder="1" applyAlignment="1">
      <alignment horizontal="center" vertical="center" wrapText="1"/>
    </xf>
    <xf fontId="6" fillId="0" borderId="10" numFmtId="0" xfId="0" applyFont="1" applyBorder="1" applyAlignment="1">
      <alignment horizontal="center" vertical="center" wrapText="1"/>
    </xf>
    <xf fontId="7" fillId="0" borderId="10" numFmtId="0" xfId="0" applyFont="1" applyBorder="1" applyAlignment="1">
      <alignment horizontal="center" vertical="center" wrapText="1"/>
    </xf>
    <xf fontId="3" fillId="0" borderId="14" numFmtId="0" xfId="0" applyFont="1" applyBorder="1" applyAlignment="1">
      <alignment horizontal="center" vertical="center" wrapText="1"/>
    </xf>
    <xf fontId="4" fillId="0" borderId="10" numFmtId="0" xfId="0" applyFont="1" applyBorder="1" applyAlignment="1">
      <alignment horizontal="center" vertical="center" wrapText="1"/>
    </xf>
    <xf fontId="0" fillId="0" borderId="10" numFmtId="0" xfId="0" applyBorder="1" applyAlignment="1">
      <alignment horizontal="center" vertical="center" wrapText="1"/>
    </xf>
    <xf fontId="0" fillId="2" borderId="10" numFmtId="0" xfId="0" applyFill="1" applyBorder="1" applyAlignment="1">
      <alignment horizontal="center" vertical="center"/>
    </xf>
    <xf fontId="2" fillId="0" borderId="10" numFmtId="0" xfId="0" applyFont="1" applyBorder="1" applyAlignment="1">
      <alignment horizontal="center" vertical="center" wrapText="1"/>
    </xf>
    <xf fontId="2" fillId="0" borderId="15" numFmtId="161" xfId="0" applyNumberFormat="1" applyFont="1" applyBorder="1" applyAlignment="1">
      <alignment horizontal="center" vertical="center" wrapText="1"/>
    </xf>
    <xf fontId="3" fillId="0" borderId="9" numFmtId="2" xfId="0" applyNumberFormat="1" applyFont="1" applyBorder="1" applyAlignment="1">
      <alignment horizontal="center" vertical="center" wrapText="1"/>
    </xf>
    <xf fontId="8" fillId="0" borderId="0" numFmtId="0" xfId="0" applyFont="1" applyAlignment="1">
      <alignment textRotation="90" vertical="center" wrapText="1"/>
    </xf>
    <xf fontId="5" fillId="0" borderId="10" numFmtId="0" xfId="0" applyFont="1" applyBorder="1" applyAlignment="1">
      <alignment horizontal="center" vertical="center" wrapText="1"/>
    </xf>
    <xf fontId="0" fillId="0" borderId="10" numFmtId="0" xfId="0" applyBorder="1" applyAlignment="1">
      <alignment horizontal="center" vertical="center"/>
    </xf>
    <xf fontId="2" fillId="0" borderId="15" numFmtId="0" xfId="0" applyFont="1" applyBorder="1" applyAlignment="1">
      <alignment horizontal="center" vertical="center" wrapText="1"/>
    </xf>
    <xf fontId="0" fillId="0" borderId="9" numFmtId="0" xfId="0" applyBorder="1"/>
    <xf fontId="0" fillId="0" borderId="10" numFmtId="0" xfId="0" applyBorder="1"/>
    <xf fontId="9" fillId="0" borderId="10" numFmtId="49" xfId="0" applyNumberFormat="1" applyFont="1" applyBorder="1" applyAlignment="1">
      <alignment horizontal="center" vertical="center" wrapText="1"/>
    </xf>
    <xf fontId="10" fillId="3" borderId="10" numFmtId="0" xfId="0" applyFont="1" applyFill="1" applyBorder="1" applyAlignment="1">
      <alignment horizontal="center" vertical="center"/>
    </xf>
    <xf fontId="3" fillId="0" borderId="9" numFmtId="161" xfId="0" applyNumberFormat="1" applyFont="1" applyBorder="1" applyAlignment="1">
      <alignment horizontal="center" vertical="center" wrapText="1"/>
    </xf>
    <xf fontId="0" fillId="4" borderId="10" numFmtId="0" xfId="0" applyFill="1" applyBorder="1" applyAlignment="1">
      <alignment horizontal="center" vertical="center"/>
    </xf>
    <xf fontId="0" fillId="5" borderId="10" numFmtId="0" xfId="0" applyFill="1" applyBorder="1" applyAlignment="1">
      <alignment horizontal="center" vertical="center"/>
    </xf>
    <xf fontId="11" fillId="0" borderId="10" numFmtId="0" xfId="0" applyFont="1" applyBorder="1" applyAlignment="1">
      <alignment horizontal="center" vertical="center"/>
    </xf>
    <xf fontId="12" fillId="0" borderId="10" numFmtId="0" xfId="0" applyFont="1" applyBorder="1" applyAlignment="1">
      <alignment horizontal="center" vertical="center"/>
    </xf>
    <xf fontId="4" fillId="0" borderId="10" numFmtId="0" xfId="0" applyFont="1" applyBorder="1" applyAlignment="1">
      <alignment horizontal="center" vertical="center"/>
    </xf>
    <xf fontId="0" fillId="0" borderId="15" numFmtId="0" xfId="0" applyBorder="1" applyAlignment="1">
      <alignment horizontal="center" vertical="center"/>
    </xf>
    <xf fontId="0" fillId="0" borderId="16" numFmtId="0" xfId="0" applyBorder="1" applyAlignment="1">
      <alignment horizontal="center" vertical="center"/>
    </xf>
    <xf fontId="11" fillId="0" borderId="17" numFmtId="0" xfId="0" applyFont="1" applyBorder="1" applyAlignment="1">
      <alignment horizontal="center" vertical="center"/>
    </xf>
    <xf fontId="11" fillId="0" borderId="17" numFmtId="0" xfId="0" applyFont="1" applyBorder="1" applyAlignment="1">
      <alignment horizontal="center" vertical="center" wrapText="1"/>
    </xf>
    <xf fontId="12" fillId="0" borderId="17" numFmtId="0" xfId="0" applyFont="1" applyBorder="1" applyAlignment="1">
      <alignment horizontal="center" vertical="center"/>
    </xf>
    <xf fontId="0" fillId="0" borderId="17" numFmtId="0" xfId="0" applyBorder="1"/>
    <xf fontId="4" fillId="0" borderId="17" numFmtId="0" xfId="0" applyFont="1" applyBorder="1" applyAlignment="1">
      <alignment horizontal="center" vertical="center"/>
    </xf>
    <xf fontId="4" fillId="0" borderId="17" numFmtId="162" xfId="1" applyNumberFormat="1" applyFont="1" applyBorder="1" applyAlignment="1">
      <alignment horizontal="center" vertical="center"/>
    </xf>
    <xf fontId="0" fillId="0" borderId="18" numFmtId="0" xfId="0" applyBorder="1" applyAlignment="1">
      <alignment horizontal="center" vertical="center"/>
    </xf>
    <xf fontId="13" fillId="0" borderId="19" numFmtId="0" xfId="0" applyFont="1" applyBorder="1" applyAlignment="1">
      <alignment horizontal="right"/>
    </xf>
    <xf fontId="2" fillId="0" borderId="19" numFmtId="161" xfId="0" applyNumberFormat="1" applyFont="1" applyBorder="1" applyAlignment="1">
      <alignment horizontal="center" vertical="center" wrapText="1"/>
    </xf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6" Type="http://schemas.openxmlformats.org/officeDocument/2006/relationships/styles" Target="styles.xml"/><Relationship  Id="rId5" Type="http://schemas.openxmlformats.org/officeDocument/2006/relationships/sharedStrings" Target="sharedStrings.xml"/><Relationship  Id="rId4" Type="http://schemas.openxmlformats.org/officeDocument/2006/relationships/theme" Target="theme/theme1.xml"/><Relationship  Id="rId3" Type="http://schemas.openxmlformats.org/officeDocument/2006/relationships/worksheet" Target="worksheets/sheet3.xml"/><Relationship  Id="rId2" Type="http://schemas.openxmlformats.org/officeDocument/2006/relationships/worksheet" Target="worksheets/sheet2.xml"/><Relationship  Id="rId1" Type="http://schemas.openxmlformats.org/officeDocument/2006/relationships/worksheet" Target="worksheets/sheet1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jpg"/><Relationship Id="rId3" Type="http://schemas.openxmlformats.org/officeDocument/2006/relationships/image" Target="../media/image3.jpg"/><Relationship Id="rId4" Type="http://schemas.openxmlformats.org/officeDocument/2006/relationships/image" Target="../media/image4.jpg"/><Relationship Id="rId5" Type="http://schemas.openxmlformats.org/officeDocument/2006/relationships/image" Target="../media/image5.jpg"/><Relationship Id="rId6" Type="http://schemas.openxmlformats.org/officeDocument/2006/relationships/image" Target="../media/image6.jpg"/><Relationship Id="rId7" Type="http://schemas.openxmlformats.org/officeDocument/2006/relationships/image" Target="../media/image7.jpg"/><Relationship Id="rId8" Type="http://schemas.openxmlformats.org/officeDocument/2006/relationships/image" Target="../media/image8.jpg"/><Relationship Id="rId9" Type="http://schemas.openxmlformats.org/officeDocument/2006/relationships/image" Target="../media/image9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oneCell">
    <xdr:from>
      <xdr:col>5</xdr:col>
      <xdr:colOff>571500</xdr:colOff>
      <xdr:row>12</xdr:row>
      <xdr:rowOff>89646</xdr:rowOff>
    </xdr:from>
    <xdr:to>
      <xdr:col>5</xdr:col>
      <xdr:colOff>1171161</xdr:colOff>
      <xdr:row>12</xdr:row>
      <xdr:rowOff>694764</xdr:rowOff>
    </xdr:to>
    <xdr:pic>
      <xdr:nvPicPr>
        <xdr:cNvPr id="36" name="Picture 2"/>
        <xdr:cNvPicPr>
          <a:picLocks noChangeAspect="1" noChangeArrowheads="1"/>
        </xdr:cNvPicPr>
      </xdr:nvPicPr>
      <xdr:blipFill>
        <a:blip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grayscl/>
        </a:blip>
        <a:stretch/>
      </xdr:blipFill>
      <xdr:spPr bwMode="auto">
        <a:xfrm>
          <a:off x="5295899" y="10976721"/>
          <a:ext cx="599662" cy="60511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twoCell">
    <xdr:from>
      <xdr:col>5</xdr:col>
      <xdr:colOff>149038</xdr:colOff>
      <xdr:row>5</xdr:row>
      <xdr:rowOff>92584</xdr:rowOff>
    </xdr:from>
    <xdr:to>
      <xdr:col>5</xdr:col>
      <xdr:colOff>1467971</xdr:colOff>
      <xdr:row>5</xdr:row>
      <xdr:rowOff>1130934</xdr:rowOff>
    </xdr:to>
    <xdr:pic>
      <xdr:nvPicPr>
        <xdr:cNvPr id="42" name="Picture 8"/>
        <xdr:cNvPicPr>
          <a:picLocks noChangeAspect="1" noChangeArrowheads="1"/>
        </xdr:cNvPicPr>
      </xdr:nvPicPr>
      <xdr:blipFill>
        <a:blip r:embed="rId2"/>
        <a:stretch/>
      </xdr:blipFill>
      <xdr:spPr bwMode="auto">
        <a:xfrm>
          <a:off x="5292538" y="6737673"/>
          <a:ext cx="1318932" cy="1038349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twoCell">
    <xdr:from>
      <xdr:col>5</xdr:col>
      <xdr:colOff>45599</xdr:colOff>
      <xdr:row>7</xdr:row>
      <xdr:rowOff>235323</xdr:rowOff>
    </xdr:from>
    <xdr:to>
      <xdr:col>5</xdr:col>
      <xdr:colOff>1738385</xdr:colOff>
      <xdr:row>7</xdr:row>
      <xdr:rowOff>437027</xdr:rowOff>
    </xdr:to>
    <xdr:pic>
      <xdr:nvPicPr>
        <xdr:cNvPr id="43" name="Picture 9"/>
        <xdr:cNvPicPr>
          <a:picLocks noChangeAspect="1" noChangeArrowheads="1"/>
        </xdr:cNvPicPr>
      </xdr:nvPicPr>
      <xdr:blipFill>
        <a:blip r:embed="rId3"/>
        <a:stretch/>
      </xdr:blipFill>
      <xdr:spPr bwMode="auto">
        <a:xfrm>
          <a:off x="4970024" y="58042547"/>
          <a:ext cx="1692787" cy="201704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twoCell">
    <xdr:from>
      <xdr:col>5</xdr:col>
      <xdr:colOff>134469</xdr:colOff>
      <xdr:row>8</xdr:row>
      <xdr:rowOff>136869</xdr:rowOff>
    </xdr:from>
    <xdr:to>
      <xdr:col>5</xdr:col>
      <xdr:colOff>1567322</xdr:colOff>
      <xdr:row>8</xdr:row>
      <xdr:rowOff>598776</xdr:rowOff>
    </xdr:to>
    <xdr:pic>
      <xdr:nvPicPr>
        <xdr:cNvPr id="45" name="Picture 9"/>
        <xdr:cNvPicPr>
          <a:picLocks noChangeAspect="1" noChangeArrowheads="1"/>
        </xdr:cNvPicPr>
      </xdr:nvPicPr>
      <xdr:blipFill>
        <a:blip r:embed="rId4"/>
        <a:stretch/>
      </xdr:blipFill>
      <xdr:spPr bwMode="auto">
        <a:xfrm>
          <a:off x="4858869" y="7671144"/>
          <a:ext cx="1432852" cy="46190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twoCell">
    <xdr:from>
      <xdr:col>5</xdr:col>
      <xdr:colOff>583366</xdr:colOff>
      <xdr:row>9</xdr:row>
      <xdr:rowOff>123260</xdr:rowOff>
    </xdr:from>
    <xdr:to>
      <xdr:col>5</xdr:col>
      <xdr:colOff>1277469</xdr:colOff>
      <xdr:row>9</xdr:row>
      <xdr:rowOff>627571</xdr:rowOff>
    </xdr:to>
    <xdr:pic>
      <xdr:nvPicPr>
        <xdr:cNvPr id="46" name="Picture 9"/>
        <xdr:cNvPicPr>
          <a:picLocks noChangeAspect="1" noChangeArrowheads="1"/>
        </xdr:cNvPicPr>
      </xdr:nvPicPr>
      <xdr:blipFill>
        <a:blip r:embed="rId5"/>
        <a:stretch/>
      </xdr:blipFill>
      <xdr:spPr bwMode="auto">
        <a:xfrm>
          <a:off x="5307766" y="8362387"/>
          <a:ext cx="694102" cy="504308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twoCell">
    <xdr:from>
      <xdr:col>5</xdr:col>
      <xdr:colOff>547854</xdr:colOff>
      <xdr:row>10</xdr:row>
      <xdr:rowOff>44821</xdr:rowOff>
    </xdr:from>
    <xdr:to>
      <xdr:col>5</xdr:col>
      <xdr:colOff>1400733</xdr:colOff>
      <xdr:row>10</xdr:row>
      <xdr:rowOff>902548</xdr:rowOff>
    </xdr:to>
    <xdr:pic>
      <xdr:nvPicPr>
        <xdr:cNvPr id="47" name="Picture 9"/>
        <xdr:cNvPicPr>
          <a:picLocks noChangeAspect="1" noChangeArrowheads="1"/>
        </xdr:cNvPicPr>
      </xdr:nvPicPr>
      <xdr:blipFill>
        <a:blip r:embed="rId6"/>
        <a:stretch/>
      </xdr:blipFill>
      <xdr:spPr bwMode="auto">
        <a:xfrm>
          <a:off x="5272254" y="8988796"/>
          <a:ext cx="852879" cy="85772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twoCell">
    <xdr:from>
      <xdr:col>5</xdr:col>
      <xdr:colOff>134469</xdr:colOff>
      <xdr:row>11</xdr:row>
      <xdr:rowOff>67234</xdr:rowOff>
    </xdr:from>
    <xdr:to>
      <xdr:col>5</xdr:col>
      <xdr:colOff>1527655</xdr:colOff>
      <xdr:row>11</xdr:row>
      <xdr:rowOff>869370</xdr:rowOff>
    </xdr:to>
    <xdr:pic>
      <xdr:nvPicPr>
        <xdr:cNvPr id="48" name="Picture 9"/>
        <xdr:cNvPicPr>
          <a:picLocks noChangeAspect="1" noChangeArrowheads="1"/>
        </xdr:cNvPicPr>
      </xdr:nvPicPr>
      <xdr:blipFill>
        <a:blip r:embed="rId7"/>
        <a:stretch/>
      </xdr:blipFill>
      <xdr:spPr bwMode="auto">
        <a:xfrm rot="16199998">
          <a:off x="5154394" y="9687234"/>
          <a:ext cx="802135" cy="139318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112568</xdr:colOff>
      <xdr:row>2</xdr:row>
      <xdr:rowOff>115044</xdr:rowOff>
    </xdr:from>
    <xdr:to>
      <xdr:col>4</xdr:col>
      <xdr:colOff>449036</xdr:colOff>
      <xdr:row>2</xdr:row>
      <xdr:rowOff>3225335</xdr:rowOff>
    </xdr:to>
    <xdr:pic>
      <xdr:nvPicPr>
        <xdr:cNvPr id="14" name="Рисунок 13" descr="2-11_вид 2.jpg"/>
        <xdr:cNvPicPr>
          <a:picLocks noChangeAspect="1"/>
        </xdr:cNvPicPr>
      </xdr:nvPicPr>
      <xdr:blipFill>
        <a:blip r:embed="rId8"/>
        <a:srcRect l="9374" t="0" r="6930" b="0"/>
        <a:stretch/>
      </xdr:blipFill>
      <xdr:spPr bwMode="auto">
        <a:xfrm>
          <a:off x="112568" y="523258"/>
          <a:ext cx="4282539" cy="3110291"/>
        </a:xfrm>
        <a:prstGeom prst="rect">
          <a:avLst/>
        </a:prstGeom>
      </xdr:spPr>
    </xdr:pic>
    <xdr:clientData/>
  </xdr:twoCellAnchor>
  <xdr:twoCellAnchor editAs="oneCell">
    <xdr:from>
      <xdr:col>4</xdr:col>
      <xdr:colOff>707571</xdr:colOff>
      <xdr:row>2</xdr:row>
      <xdr:rowOff>261011</xdr:rowOff>
    </xdr:from>
    <xdr:to>
      <xdr:col>10</xdr:col>
      <xdr:colOff>55665</xdr:colOff>
      <xdr:row>2</xdr:row>
      <xdr:rowOff>3140214</xdr:rowOff>
    </xdr:to>
    <xdr:pic>
      <xdr:nvPicPr>
        <xdr:cNvPr id="15" name="Рисунок 14" descr="2-11_вид 2.jpg"/>
        <xdr:cNvPicPr>
          <a:picLocks noChangeAspect="1"/>
        </xdr:cNvPicPr>
      </xdr:nvPicPr>
      <xdr:blipFill>
        <a:blip r:embed="rId9"/>
        <a:stretch/>
      </xdr:blipFill>
      <xdr:spPr bwMode="auto">
        <a:xfrm>
          <a:off x="4653642" y="669225"/>
          <a:ext cx="4477987" cy="2879203"/>
        </a:xfrm>
        <a:prstGeom prst="rect">
          <a:avLst/>
        </a:prstGeom>
      </xdr:spPr>
    </xdr:pic>
    <xdr:clientData/>
  </xdr:twoCellAnchor>
  <xdr:twoCellAnchor editAs="oneCell">
    <xdr:from>
      <xdr:col>5</xdr:col>
      <xdr:colOff>571500</xdr:colOff>
      <xdr:row>13</xdr:row>
      <xdr:rowOff>89646</xdr:rowOff>
    </xdr:from>
    <xdr:to>
      <xdr:col>5</xdr:col>
      <xdr:colOff>1171161</xdr:colOff>
      <xdr:row>13</xdr:row>
      <xdr:rowOff>694764</xdr:rowOff>
    </xdr:to>
    <xdr:pic>
      <xdr:nvPicPr>
        <xdr:cNvPr id="16" name="Picture 2"/>
        <xdr:cNvPicPr>
          <a:picLocks noChangeAspect="1" noChangeArrowheads="1"/>
        </xdr:cNvPicPr>
      </xdr:nvPicPr>
      <xdr:blipFill>
        <a:blip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grayscl/>
        </a:blip>
        <a:stretch/>
      </xdr:blipFill>
      <xdr:spPr bwMode="auto">
        <a:xfrm>
          <a:off x="5295899" y="11719671"/>
          <a:ext cx="599662" cy="60511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topLeftCell="B7" zoomScale="70" workbookViewId="0">
      <selection activeCell="F11" activeCellId="0" sqref="F11"/>
    </sheetView>
  </sheetViews>
  <sheetFormatPr defaultRowHeight="14.25"/>
  <cols>
    <col customWidth="1" hidden="1" min="1" max="1" width="6.28515625"/>
    <col customWidth="1" min="2" max="2" width="7.7109375"/>
    <col customWidth="1" min="3" max="3" width="14.85546875"/>
    <col customWidth="1" min="4" max="4" width="36.5703125"/>
    <col customWidth="1" min="5" max="5" style="1" width="11.7109375"/>
    <col customWidth="1" min="6" max="6" width="26.7109375"/>
    <col customWidth="1" min="7" max="7" width="12.28515625"/>
    <col customWidth="1" min="8" max="11" width="8.85546875"/>
    <col customWidth="1" hidden="1" min="12" max="13" width="15.5703125"/>
    <col customWidth="1" hidden="1" min="14" max="14" width="19.140625"/>
    <col customWidth="1" hidden="1" min="15" max="15" width="14.7109375"/>
    <col customWidth="1" hidden="1" min="16" max="16" width="8.42578125"/>
    <col customWidth="1" hidden="1" min="17" max="17" width="14.28515625"/>
    <col customWidth="1" hidden="1" min="18" max="18" width="6.5703125"/>
    <col customWidth="1" hidden="1" min="19" max="19" style="1" width="12.28515625"/>
    <col customWidth="1" hidden="1" min="20" max="20" width="7.28515625"/>
    <col customWidth="1" hidden="1" min="21" max="21" width="0"/>
    <col customWidth="1" min="22" max="22" width="29.85546875"/>
  </cols>
  <sheetData>
    <row r="1" ht="15.75">
      <c r="B1" s="2" t="s">
        <v>0</v>
      </c>
      <c r="C1" s="3"/>
      <c r="D1" s="3"/>
      <c r="E1" s="3"/>
      <c r="F1" s="3"/>
      <c r="G1" s="3"/>
      <c r="H1" s="3"/>
      <c r="I1" s="3"/>
      <c r="J1" s="3"/>
      <c r="K1" s="4"/>
    </row>
    <row r="2" ht="15.75">
      <c r="A2" s="5" t="s">
        <v>1</v>
      </c>
      <c r="B2" s="6"/>
      <c r="C2" s="6"/>
      <c r="D2" s="6"/>
      <c r="E2" s="6"/>
      <c r="F2" s="6"/>
      <c r="G2" s="6"/>
      <c r="H2" s="6"/>
      <c r="I2" s="6"/>
      <c r="J2" s="6"/>
      <c r="K2" s="7"/>
    </row>
    <row r="3" ht="278.25" customHeight="1">
      <c r="B3" s="8"/>
      <c r="C3" s="1"/>
      <c r="D3" s="1"/>
      <c r="E3" s="1"/>
      <c r="F3" s="1"/>
      <c r="G3" s="1"/>
      <c r="H3" s="1"/>
      <c r="I3" s="1"/>
      <c r="J3" s="1"/>
      <c r="K3" s="9"/>
    </row>
    <row r="4" ht="38.25">
      <c r="B4" s="10" t="s">
        <v>2</v>
      </c>
      <c r="C4" s="11" t="s">
        <v>3</v>
      </c>
      <c r="D4" s="12" t="s">
        <v>4</v>
      </c>
      <c r="E4" s="11" t="s">
        <v>5</v>
      </c>
      <c r="F4" s="13" t="s">
        <v>6</v>
      </c>
      <c r="G4" s="13" t="s">
        <v>7</v>
      </c>
      <c r="H4" s="14" t="s">
        <v>8</v>
      </c>
      <c r="I4" s="14" t="s">
        <v>9</v>
      </c>
      <c r="J4" s="14" t="s">
        <v>10</v>
      </c>
      <c r="K4" s="15" t="s">
        <v>11</v>
      </c>
      <c r="L4" s="16" t="s">
        <v>12</v>
      </c>
      <c r="V4" s="17" t="s">
        <v>13</v>
      </c>
    </row>
    <row r="5" s="18" customFormat="1" ht="45.75" customHeight="1">
      <c r="B5" s="19">
        <v>1</v>
      </c>
      <c r="C5" s="20" t="s">
        <v>14</v>
      </c>
      <c r="D5" s="21" t="s">
        <v>15</v>
      </c>
      <c r="E5" s="22">
        <v>4</v>
      </c>
      <c r="F5" s="20"/>
      <c r="G5" s="23"/>
      <c r="H5" s="24"/>
      <c r="I5" s="24"/>
      <c r="J5" s="24"/>
      <c r="K5" s="25">
        <v>0.001</v>
      </c>
      <c r="L5" s="16">
        <v>0.050000000000000003</v>
      </c>
      <c r="M5" s="17"/>
      <c r="N5" s="26"/>
      <c r="O5" s="27"/>
      <c r="P5" s="27"/>
      <c r="Q5" s="26"/>
      <c r="R5" s="27"/>
      <c r="S5" s="26"/>
      <c r="T5" s="27"/>
      <c r="U5" s="18">
        <f t="shared" ref="U5:U11" si="0">E5*K5</f>
        <v>0.0040000000000000001</v>
      </c>
      <c r="V5" s="17" t="s">
        <v>16</v>
      </c>
    </row>
    <row r="6" s="18" customFormat="1" ht="97.5" customHeight="1">
      <c r="B6" s="28">
        <v>2</v>
      </c>
      <c r="C6" s="17" t="s">
        <v>17</v>
      </c>
      <c r="D6" s="29" t="s">
        <v>18</v>
      </c>
      <c r="E6" s="30">
        <v>2</v>
      </c>
      <c r="F6" s="17"/>
      <c r="G6" s="31">
        <v>7047</v>
      </c>
      <c r="H6" s="32">
        <v>1.04</v>
      </c>
      <c r="I6" s="32">
        <v>0.12</v>
      </c>
      <c r="J6" s="32">
        <v>0.20999999999999999</v>
      </c>
      <c r="K6" s="33">
        <f>H6*I6*J6</f>
        <v>0.026207999999999999</v>
      </c>
      <c r="L6" s="34">
        <f>(O6*3.14*P6)/1000000</f>
        <v>0.093634800000000004</v>
      </c>
      <c r="M6" s="17"/>
      <c r="N6" s="32"/>
      <c r="O6" s="17">
        <v>21.300000000000001</v>
      </c>
      <c r="P6" s="17">
        <v>1400</v>
      </c>
      <c r="Q6" s="17"/>
      <c r="R6" s="17"/>
      <c r="S6" s="17">
        <v>4</v>
      </c>
      <c r="T6" s="17">
        <f t="shared" ref="T6:T12" si="1">E6*S6</f>
        <v>8</v>
      </c>
      <c r="U6" s="18">
        <f t="shared" si="0"/>
        <v>0.052415999999999997</v>
      </c>
      <c r="V6" s="17" t="s">
        <v>16</v>
      </c>
    </row>
    <row r="7" ht="49.5" customHeight="1">
      <c r="A7" s="35"/>
      <c r="B7" s="19">
        <v>3</v>
      </c>
      <c r="C7" s="17" t="s">
        <v>19</v>
      </c>
      <c r="D7" s="30" t="s">
        <v>20</v>
      </c>
      <c r="E7" s="36">
        <v>8</v>
      </c>
      <c r="F7" s="17"/>
      <c r="G7" s="31">
        <v>7047</v>
      </c>
      <c r="H7" s="32"/>
      <c r="I7" s="37"/>
      <c r="J7" s="37"/>
      <c r="K7" s="38">
        <v>0.001</v>
      </c>
      <c r="L7" s="39"/>
      <c r="M7" s="40"/>
      <c r="N7" s="40"/>
      <c r="O7" s="40"/>
      <c r="P7" s="40"/>
      <c r="Q7" s="40"/>
      <c r="R7" s="40"/>
      <c r="S7" s="37">
        <v>2</v>
      </c>
      <c r="T7" s="17">
        <f t="shared" si="1"/>
        <v>16</v>
      </c>
      <c r="U7" s="18">
        <f t="shared" si="0"/>
        <v>0.0080000000000000002</v>
      </c>
      <c r="V7" s="17" t="s">
        <v>21</v>
      </c>
    </row>
    <row r="8" s="18" customFormat="1" ht="55.5" customHeight="1">
      <c r="A8" s="35"/>
      <c r="B8" s="28">
        <v>4</v>
      </c>
      <c r="C8" s="41" t="s">
        <v>22</v>
      </c>
      <c r="D8" s="29" t="s">
        <v>23</v>
      </c>
      <c r="E8" s="36">
        <v>4</v>
      </c>
      <c r="F8" s="17"/>
      <c r="G8" s="42">
        <v>6018</v>
      </c>
      <c r="H8" s="32">
        <v>1.76</v>
      </c>
      <c r="I8" s="32">
        <v>0.14499999999999999</v>
      </c>
      <c r="J8" s="32">
        <v>0.021000000000000001</v>
      </c>
      <c r="K8" s="33">
        <f t="shared" ref="K8:K12" si="2">H8*I8*J8</f>
        <v>0.0053591999999999997</v>
      </c>
      <c r="L8" s="43">
        <f t="shared" ref="L8:L12" si="3">(H8*I8)*2.1</f>
        <v>0.53591999999999995</v>
      </c>
      <c r="M8" s="17">
        <v>3640</v>
      </c>
      <c r="N8" s="32"/>
      <c r="O8" s="17"/>
      <c r="P8" s="17"/>
      <c r="Q8" s="17"/>
      <c r="R8" s="17"/>
      <c r="S8" s="17">
        <v>4</v>
      </c>
      <c r="T8" s="17">
        <f t="shared" si="1"/>
        <v>16</v>
      </c>
      <c r="U8" s="18">
        <f t="shared" si="0"/>
        <v>0.021436799999999999</v>
      </c>
      <c r="V8" s="17"/>
    </row>
    <row r="9" s="18" customFormat="1" ht="55.5" customHeight="1">
      <c r="A9" s="35"/>
      <c r="B9" s="19">
        <v>5</v>
      </c>
      <c r="C9" s="41" t="s">
        <v>24</v>
      </c>
      <c r="D9" s="29" t="s">
        <v>25</v>
      </c>
      <c r="E9" s="36">
        <v>8</v>
      </c>
      <c r="F9" s="17"/>
      <c r="G9" s="42">
        <v>6018</v>
      </c>
      <c r="H9" s="32">
        <v>0.76000000000000001</v>
      </c>
      <c r="I9" s="32">
        <v>0.224</v>
      </c>
      <c r="J9" s="32">
        <v>0.021000000000000001</v>
      </c>
      <c r="K9" s="33">
        <f t="shared" si="2"/>
        <v>0.0035750400000000002</v>
      </c>
      <c r="L9" s="43">
        <f t="shared" si="3"/>
        <v>0.35750400000000004</v>
      </c>
      <c r="M9" s="17">
        <v>1992</v>
      </c>
      <c r="N9" s="32"/>
      <c r="O9" s="17"/>
      <c r="P9" s="17"/>
      <c r="Q9" s="17"/>
      <c r="R9" s="17"/>
      <c r="S9" s="17">
        <v>2</v>
      </c>
      <c r="T9" s="17">
        <f t="shared" si="1"/>
        <v>16</v>
      </c>
      <c r="U9" s="18">
        <f t="shared" si="0"/>
        <v>0.028600320000000002</v>
      </c>
      <c r="V9" s="17"/>
    </row>
    <row r="10" s="18" customFormat="1" ht="55.5" customHeight="1">
      <c r="A10" s="35"/>
      <c r="B10" s="28">
        <v>6</v>
      </c>
      <c r="C10" s="41" t="s">
        <v>26</v>
      </c>
      <c r="D10" s="29" t="s">
        <v>27</v>
      </c>
      <c r="E10" s="36">
        <v>4</v>
      </c>
      <c r="F10" s="17"/>
      <c r="G10" s="44">
        <v>5017</v>
      </c>
      <c r="H10" s="32">
        <v>0.29999999999999999</v>
      </c>
      <c r="I10" s="32">
        <v>0.20000000000000001</v>
      </c>
      <c r="J10" s="32">
        <v>0.014999999999999999</v>
      </c>
      <c r="K10" s="33">
        <f t="shared" si="2"/>
        <v>0.00089999999999999998</v>
      </c>
      <c r="L10" s="43">
        <f t="shared" si="3"/>
        <v>0.126</v>
      </c>
      <c r="M10" s="17">
        <v>915</v>
      </c>
      <c r="N10" s="32"/>
      <c r="O10" s="17"/>
      <c r="P10" s="17"/>
      <c r="Q10" s="17"/>
      <c r="R10" s="17"/>
      <c r="S10" s="17">
        <v>6</v>
      </c>
      <c r="T10" s="17">
        <f t="shared" si="1"/>
        <v>24</v>
      </c>
      <c r="U10" s="18">
        <f t="shared" si="0"/>
        <v>0.0035999999999999999</v>
      </c>
      <c r="V10" s="17" t="s">
        <v>28</v>
      </c>
    </row>
    <row r="11" s="18" customFormat="1" ht="76.5" customHeight="1">
      <c r="A11" s="35"/>
      <c r="B11" s="19">
        <v>7</v>
      </c>
      <c r="C11" s="41" t="s">
        <v>29</v>
      </c>
      <c r="D11" s="29" t="s">
        <v>30</v>
      </c>
      <c r="E11" s="36">
        <v>4</v>
      </c>
      <c r="F11" s="17"/>
      <c r="G11" s="45">
        <v>2008</v>
      </c>
      <c r="H11" s="32">
        <v>0.41099999999999998</v>
      </c>
      <c r="I11" s="32">
        <v>0.41099999999999998</v>
      </c>
      <c r="J11" s="32">
        <v>0.014999999999999999</v>
      </c>
      <c r="K11" s="33">
        <f t="shared" si="2"/>
        <v>0.0025338149999999996</v>
      </c>
      <c r="L11" s="43">
        <f t="shared" si="3"/>
        <v>0.3547341</v>
      </c>
      <c r="M11" s="17">
        <v>1450</v>
      </c>
      <c r="N11" s="32"/>
      <c r="O11" s="17"/>
      <c r="P11" s="17"/>
      <c r="Q11" s="17"/>
      <c r="R11" s="17"/>
      <c r="S11" s="17"/>
      <c r="T11" s="17">
        <f t="shared" si="1"/>
        <v>0</v>
      </c>
      <c r="U11" s="18">
        <f t="shared" si="0"/>
        <v>0.010135259999999998</v>
      </c>
      <c r="V11" s="17" t="s">
        <v>28</v>
      </c>
    </row>
    <row r="12" s="18" customFormat="1" ht="76.5" customHeight="1">
      <c r="A12" s="35"/>
      <c r="B12" s="28">
        <v>8</v>
      </c>
      <c r="C12" s="41" t="s">
        <v>31</v>
      </c>
      <c r="D12" s="29" t="s">
        <v>32</v>
      </c>
      <c r="E12" s="36">
        <v>2</v>
      </c>
      <c r="F12" s="17"/>
      <c r="G12" s="44">
        <v>5017</v>
      </c>
      <c r="H12" s="32">
        <v>1.5900000000000001</v>
      </c>
      <c r="I12" s="32">
        <v>0.875</v>
      </c>
      <c r="J12" s="32">
        <v>0.014999999999999999</v>
      </c>
      <c r="K12" s="33">
        <f t="shared" si="2"/>
        <v>0.020868750000000002</v>
      </c>
      <c r="L12" s="43">
        <f t="shared" si="3"/>
        <v>2.9216250000000001</v>
      </c>
      <c r="M12" s="17">
        <v>4450</v>
      </c>
      <c r="N12" s="32"/>
      <c r="O12" s="17"/>
      <c r="P12" s="17"/>
      <c r="Q12" s="17"/>
      <c r="R12" s="17"/>
      <c r="S12" s="17"/>
      <c r="T12" s="17">
        <f t="shared" si="1"/>
        <v>0</v>
      </c>
      <c r="U12" s="18">
        <f t="shared" ref="U12:U14" si="4">E12*K12</f>
        <v>0.041737500000000004</v>
      </c>
      <c r="V12" s="17"/>
    </row>
    <row r="13" ht="58.5" customHeight="1">
      <c r="A13" s="1"/>
      <c r="B13" s="19">
        <v>9</v>
      </c>
      <c r="C13" s="46" t="s">
        <v>33</v>
      </c>
      <c r="D13" s="46" t="s">
        <v>34</v>
      </c>
      <c r="E13" s="47">
        <v>56</v>
      </c>
      <c r="F13" s="40"/>
      <c r="G13" s="48"/>
      <c r="H13" s="48">
        <v>0.027</v>
      </c>
      <c r="I13" s="48">
        <v>0.027</v>
      </c>
      <c r="J13" s="48">
        <v>0.016</v>
      </c>
      <c r="K13" s="49">
        <v>0.00020000000000000001</v>
      </c>
      <c r="L13" s="39"/>
      <c r="R13">
        <f t="shared" ref="R13:R14" si="5">SUM(R4:R7)</f>
        <v>0</v>
      </c>
      <c r="U13" s="18">
        <f t="shared" si="4"/>
        <v>0.0112</v>
      </c>
      <c r="V13" s="40"/>
    </row>
    <row r="14" ht="58.5" customHeight="1">
      <c r="A14" s="50"/>
      <c r="B14" s="28">
        <v>10</v>
      </c>
      <c r="C14" s="46" t="s">
        <v>33</v>
      </c>
      <c r="D14" s="46" t="s">
        <v>35</v>
      </c>
      <c r="E14" s="47">
        <v>24</v>
      </c>
      <c r="F14" s="40"/>
      <c r="G14" s="48"/>
      <c r="H14" s="48">
        <v>0.027</v>
      </c>
      <c r="I14" s="48">
        <v>0.027</v>
      </c>
      <c r="J14" s="48">
        <v>0.016</v>
      </c>
      <c r="K14" s="49">
        <v>0.00020000000000000001</v>
      </c>
      <c r="L14" s="39"/>
      <c r="R14">
        <f t="shared" si="5"/>
        <v>0</v>
      </c>
      <c r="U14" s="18">
        <f t="shared" si="4"/>
        <v>0.0048000000000000004</v>
      </c>
      <c r="V14" s="40"/>
    </row>
    <row r="15" ht="33.75" customHeight="1">
      <c r="A15" s="50"/>
      <c r="B15" s="19">
        <v>11</v>
      </c>
      <c r="C15" s="51"/>
      <c r="D15" s="52" t="s">
        <v>36</v>
      </c>
      <c r="E15" s="53">
        <v>4</v>
      </c>
      <c r="F15" s="54"/>
      <c r="G15" s="55"/>
      <c r="H15" s="55"/>
      <c r="I15" s="55"/>
      <c r="J15" s="56"/>
      <c r="K15" s="57"/>
      <c r="U15" s="18"/>
      <c r="V15" s="37" t="s">
        <v>37</v>
      </c>
    </row>
    <row r="16" ht="16.5">
      <c r="B16" s="58" t="s">
        <v>38</v>
      </c>
      <c r="C16" s="58"/>
      <c r="D16" s="58"/>
      <c r="E16" s="58"/>
      <c r="F16" s="58"/>
      <c r="G16" s="58"/>
      <c r="H16" s="58"/>
      <c r="I16" s="58"/>
      <c r="J16" s="58"/>
      <c r="K16" s="59">
        <f>SUM(U5:U13)</f>
        <v>0.18112588000000002</v>
      </c>
    </row>
    <row r="17" ht="14.25"/>
  </sheetData>
  <mergeCells count="4">
    <mergeCell ref="B1:K1"/>
    <mergeCell ref="A2:K2"/>
    <mergeCell ref="B3:K3"/>
    <mergeCell ref="B16:J16"/>
  </mergeCells>
  <printOptions headings="0" gridLines="0"/>
  <pageMargins left="0.23622047244094491" right="0.23622047244094491" top="0.39370078740157477" bottom="0.39370078740157477" header="0.31496062992125984" footer="0.31496062992125984"/>
  <pageSetup paperSize="9" scale="59" fitToWidth="1" fitToHeight="1" pageOrder="downThenOver" orientation="portrait" usePrinterDefaults="1" blackAndWhite="0" draft="0" cellComments="none" useFirstPageNumber="0" errors="displayed" horizontalDpi="0" verticalDpi="0" copies="1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C33" activeCellId="0" sqref="C33"/>
    </sheetView>
  </sheetViews>
  <sheetFormatPr defaultRowHeight="14.25"/>
  <sheetData/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/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R7-Office/2024.1.1.375</Application>
  <Company>Reanimator Extreme Edition</Company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Евгения</dc:creator>
  <cp:lastModifiedBy>Офис ПК Модуль (СР)</cp:lastModifiedBy>
  <cp:revision>3</cp:revision>
  <dcterms:created xsi:type="dcterms:W3CDTF">2017-04-27T07:18:00Z</dcterms:created>
  <dcterms:modified xsi:type="dcterms:W3CDTF">2024-07-22T12:53:53Z</dcterms:modified>
</cp:coreProperties>
</file>