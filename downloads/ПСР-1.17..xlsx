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  <sheet name="Лист2" sheetId="2" state="visible" r:id="rId2"/>
    <sheet name="Лист3" sheetId="3" state="visible" r:id="rId3"/>
  </sheets>
  <calcPr refMode="R1C1"/>
</workbook>
</file>

<file path=xl/sharedStrings.xml><?xml version="1.0" encoding="utf-8"?>
<sst xmlns="http://schemas.openxmlformats.org/spreadsheetml/2006/main" count="75" uniqueCount="75">
  <si>
    <t>ПСР-1.17</t>
  </si>
  <si>
    <t xml:space="preserve">Размер 3,70 х 2,20 х 2,20 м</t>
  </si>
  <si>
    <t xml:space="preserve">№ п/п</t>
  </si>
  <si>
    <t>Артикул</t>
  </si>
  <si>
    <t>Наименование</t>
  </si>
  <si>
    <t>Кол-во</t>
  </si>
  <si>
    <t>Изображение</t>
  </si>
  <si>
    <t>цвет</t>
  </si>
  <si>
    <t xml:space="preserve">Длина, м</t>
  </si>
  <si>
    <t xml:space="preserve">Ширина, м</t>
  </si>
  <si>
    <t xml:space="preserve">Высота, м</t>
  </si>
  <si>
    <t xml:space="preserve">Объем, м3</t>
  </si>
  <si>
    <t xml:space="preserve">Заглушка м8-10 (крепеж к столбу) (на 1 комплектующую)</t>
  </si>
  <si>
    <t xml:space="preserve">всего м8-10</t>
  </si>
  <si>
    <t xml:space="preserve">Заглушка м6 (крепеж фанеры между собой)</t>
  </si>
  <si>
    <t xml:space="preserve">всего м6</t>
  </si>
  <si>
    <t xml:space="preserve">Объем всего</t>
  </si>
  <si>
    <t>СТОЛБЫ</t>
  </si>
  <si>
    <t>0080ДБ</t>
  </si>
  <si>
    <t xml:space="preserve">Столб (брус 100х100)  350 мм</t>
  </si>
  <si>
    <t>тик</t>
  </si>
  <si>
    <t>0041ДБ</t>
  </si>
  <si>
    <t xml:space="preserve">Столб (брус 100х100)  750 мм</t>
  </si>
  <si>
    <t>0008ДБ</t>
  </si>
  <si>
    <t xml:space="preserve">Столб (брус 100х100)  1500 мм</t>
  </si>
  <si>
    <t>0026ДБ</t>
  </si>
  <si>
    <t xml:space="preserve">Столб (брус 100х100)  2200 мм</t>
  </si>
  <si>
    <t>-</t>
  </si>
  <si>
    <t xml:space="preserve">Столб (брус 100х100)  910 мм</t>
  </si>
  <si>
    <t>0013МП</t>
  </si>
  <si>
    <t xml:space="preserve">Закладная на столб 100х100</t>
  </si>
  <si>
    <t>ПАНЕЛИ</t>
  </si>
  <si>
    <t xml:space="preserve">ЭЛЕМЕНТЫ ДОМИКОВ  1.08</t>
  </si>
  <si>
    <t>000916</t>
  </si>
  <si>
    <t xml:space="preserve">Корма 1500 песочницы 1.17
1500 x 700 x 21 </t>
  </si>
  <si>
    <t>000917</t>
  </si>
  <si>
    <t xml:space="preserve">Борт 1500 песочницы 1.17
1500 x 300 x 21</t>
  </si>
  <si>
    <t>000918</t>
  </si>
  <si>
    <t xml:space="preserve">Борт малый песочницы 1.17
950 x 300 x 21 </t>
  </si>
  <si>
    <t>000919</t>
  </si>
  <si>
    <t xml:space="preserve">Задняя часть песочницы 1.17
2121 x 300 x 21</t>
  </si>
  <si>
    <t>000920</t>
  </si>
  <si>
    <t xml:space="preserve">Панель Люк 1000
1000 x 700 x 21  </t>
  </si>
  <si>
    <t>000108</t>
  </si>
  <si>
    <t xml:space="preserve">Накладка Панели Люк 800
480 x 275 x 15 </t>
  </si>
  <si>
    <t>000921</t>
  </si>
  <si>
    <t xml:space="preserve">Держатель крыши корабля 1.17
1103 x 606 x 21 </t>
  </si>
  <si>
    <t>000922</t>
  </si>
  <si>
    <t xml:space="preserve">Крыша корабля 1.17
1100 x 1341 x 15  </t>
  </si>
  <si>
    <t>000923</t>
  </si>
  <si>
    <t xml:space="preserve">Соединитель на крышу корабля 1.17
569 x 1132 x 15</t>
  </si>
  <si>
    <t>000924</t>
  </si>
  <si>
    <t xml:space="preserve">Столик корабля полукруглый 1.17
325 x 650 x 21 </t>
  </si>
  <si>
    <t>000925</t>
  </si>
  <si>
    <t xml:space="preserve">Сидушка корабля 1.17
650 x 300 x 21 </t>
  </si>
  <si>
    <t>000225</t>
  </si>
  <si>
    <t xml:space="preserve">Флаг 6.10
344 x 187 x 21  </t>
  </si>
  <si>
    <t>000915</t>
  </si>
  <si>
    <t xml:space="preserve">Столик песочницы 6.08
500 x 500 x 21</t>
  </si>
  <si>
    <t>000087</t>
  </si>
  <si>
    <t xml:space="preserve">Соединительная косынка домика 1.02
348 x 348 x 15  </t>
  </si>
  <si>
    <t>000515</t>
  </si>
  <si>
    <t xml:space="preserve">Соединитель центральный 5.21
491 x 345 x 15   </t>
  </si>
  <si>
    <t>000926</t>
  </si>
  <si>
    <t xml:space="preserve">Опора под подоконник
220 x 130 x 15   </t>
  </si>
  <si>
    <t>0003МП</t>
  </si>
  <si>
    <t xml:space="preserve">Уголок крепления фанеры</t>
  </si>
  <si>
    <t>ЗАГЛУШКИ</t>
  </si>
  <si>
    <t>П-5.01.01</t>
  </si>
  <si>
    <t xml:space="preserve">Заглушка пластиковая на болт М6 (черные)</t>
  </si>
  <si>
    <t>Черный</t>
  </si>
  <si>
    <t>П-5.01.02</t>
  </si>
  <si>
    <t xml:space="preserve">Заглушка пластиковая на болт М8-10 (черные)</t>
  </si>
  <si>
    <t>П-5.01.03</t>
  </si>
  <si>
    <t xml:space="preserve">Заглушка пластиковая на столб 100х100 мм (черные)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</si>
</sst>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0" formatCode="_-* #,##0.00\ _₽_-;\-* #,##0.00\ _₽_-;_-* &quot;-&quot;??\ _₽_-;_-@_-"/>
    <numFmt numFmtId="161" formatCode="0.0000"/>
    <numFmt numFmtId="162" formatCode="0.000"/>
    <numFmt numFmtId="163" formatCode="_-* #,##0.0000\ _₽_-;\-* #,##0.0000\ _₽_-;_-* &quot;-&quot;??\ _₽_-;_-@_-"/>
    <numFmt numFmtId="164" formatCode="0.00000"/>
  </numFmts>
  <fonts count="17">
    <font>
      <sz val="11.000000"/>
      <color theme="1"/>
      <name val="Calibri"/>
      <scheme val="minor"/>
    </font>
    <font>
      <i/>
      <sz val="12.000000"/>
      <color theme="1"/>
      <name val="Arial"/>
    </font>
    <font>
      <b/>
      <sz val="16.000000"/>
      <color theme="1"/>
      <name val="Calibri"/>
      <scheme val="minor"/>
    </font>
    <font>
      <b/>
      <sz val="12.000000"/>
      <color theme="1"/>
      <name val="Calibri"/>
      <scheme val="minor"/>
    </font>
    <font>
      <b/>
      <sz val="11.000000"/>
      <color theme="1"/>
      <name val="Calibri"/>
      <scheme val="minor"/>
    </font>
    <font>
      <i/>
      <sz val="11.000000"/>
      <color theme="1"/>
      <name val="Arial"/>
    </font>
    <font>
      <b/>
      <i/>
      <sz val="11.000000"/>
      <color theme="1"/>
      <name val="Arial"/>
    </font>
    <font>
      <b/>
      <i/>
      <sz val="12.000000"/>
      <color theme="1"/>
      <name val="Arial"/>
    </font>
    <font>
      <sz val="10.000000"/>
      <color theme="1"/>
      <name val="Arial"/>
    </font>
    <font>
      <sz val="12.000000"/>
      <color theme="1"/>
      <name val="Arial"/>
    </font>
    <font>
      <sz val="11.000000"/>
      <color theme="1"/>
      <name val="Arial"/>
    </font>
    <font>
      <b/>
      <sz val="16.000000"/>
      <color theme="1"/>
      <name val="Arial"/>
    </font>
    <font>
      <sz val="9.000000"/>
      <color theme="1"/>
      <name val="Arial"/>
    </font>
    <font>
      <i/>
      <sz val="12.000000"/>
      <color theme="1"/>
      <name val="Calibri"/>
      <scheme val="minor"/>
    </font>
    <font>
      <sz val="11.000000"/>
      <name val="Calibri"/>
      <scheme val="minor"/>
    </font>
    <font>
      <sz val="11.000000"/>
      <name val="Arial"/>
    </font>
    <font>
      <sz val="12.000000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indexed="5"/>
        <bgColor indexed="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indexed="2"/>
        <bgColor indexed="2"/>
      </patternFill>
    </fill>
  </fills>
  <borders count="28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0" applyNumberFormat="1" applyFont="0" applyFill="0" applyBorder="0" applyProtection="0"/>
  </cellStyleXfs>
  <cellXfs count="105">
    <xf fontId="0" fillId="0" borderId="0" numFmtId="0" xfId="0"/>
    <xf fontId="0" fillId="0" borderId="0" numFmtId="0" xfId="0" applyAlignment="1">
      <alignment horizontal="center"/>
    </xf>
    <xf fontId="1" fillId="0" borderId="0" numFmtId="0" xfId="0" applyFont="1" applyAlignment="1">
      <alignment horizontal="left" indent="1"/>
    </xf>
    <xf fontId="0" fillId="0" borderId="0" numFmtId="0" xfId="0" applyAlignment="1">
      <alignment horizontal="center" vertical="center"/>
    </xf>
    <xf fontId="0" fillId="0" borderId="0" numFmtId="161" xfId="1" applyNumberFormat="1"/>
    <xf fontId="2" fillId="2" borderId="1" numFmtId="0" xfId="0" applyFont="1" applyFill="1" applyBorder="1" applyAlignment="1">
      <alignment horizontal="center" vertical="center"/>
    </xf>
    <xf fontId="2" fillId="2" borderId="2" numFmtId="0" xfId="0" applyFont="1" applyFill="1" applyBorder="1" applyAlignment="1">
      <alignment horizontal="center" vertical="center"/>
    </xf>
    <xf fontId="3" fillId="0" borderId="3" numFmtId="0" xfId="0" applyFont="1" applyBorder="1" applyAlignment="1">
      <alignment horizontal="center" vertical="center"/>
    </xf>
    <xf fontId="3" fillId="0" borderId="4" numFmtId="0" xfId="0" applyFont="1" applyBorder="1" applyAlignment="1">
      <alignment horizontal="center" vertical="center"/>
    </xf>
    <xf fontId="4" fillId="0" borderId="0" numFmtId="0" xfId="0" applyFont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/>
    <xf fontId="1" fillId="0" borderId="8" numFmtId="0" xfId="0" applyFont="1" applyBorder="1" applyAlignment="1">
      <alignment horizontal="center" vertical="center"/>
    </xf>
    <xf fontId="1" fillId="0" borderId="9" numFmtId="0" xfId="0" applyFont="1" applyBorder="1" applyAlignment="1">
      <alignment horizontal="center" vertical="center"/>
    </xf>
    <xf fontId="1" fillId="0" borderId="9" numFmtId="0" xfId="0" applyFont="1" applyBorder="1" applyAlignment="1">
      <alignment horizontal="left" indent="1" vertical="center" wrapText="1"/>
    </xf>
    <xf fontId="1" fillId="0" borderId="9" numFmtId="0" xfId="0" applyFont="1" applyBorder="1" applyAlignment="1">
      <alignment horizontal="center" vertical="center" wrapText="1"/>
    </xf>
    <xf fontId="1" fillId="0" borderId="10" numFmtId="161" xfId="1" applyNumberFormat="1" applyFont="1" applyBorder="1" applyAlignment="1">
      <alignment vertical="center" wrapText="1"/>
    </xf>
    <xf fontId="5" fillId="0" borderId="11" numFmtId="0" xfId="0" applyFont="1" applyBorder="1" applyAlignment="1">
      <alignment horizontal="center" vertical="center" wrapText="1"/>
    </xf>
    <xf fontId="6" fillId="0" borderId="12" numFmtId="0" xfId="0" applyFont="1" applyBorder="1" applyAlignment="1">
      <alignment horizontal="center" vertical="center" wrapText="1"/>
    </xf>
    <xf fontId="5" fillId="0" borderId="12" numFmtId="0" xfId="0" applyFont="1" applyBorder="1" applyAlignment="1">
      <alignment horizontal="center" vertical="center" wrapText="1"/>
    </xf>
    <xf fontId="0" fillId="0" borderId="12" numFmtId="0" xfId="0" applyBorder="1" applyAlignment="1">
      <alignment horizontal="center" vertical="center" wrapText="1"/>
    </xf>
    <xf fontId="5" fillId="0" borderId="13" numFmtId="0" xfId="0" applyFont="1" applyBorder="1"/>
    <xf fontId="7" fillId="3" borderId="8" numFmtId="0" xfId="0" applyFont="1" applyFill="1" applyBorder="1" applyAlignment="1">
      <alignment horizontal="center" vertical="center"/>
    </xf>
    <xf fontId="7" fillId="3" borderId="9" numFmtId="0" xfId="0" applyFont="1" applyFill="1" applyBorder="1" applyAlignment="1">
      <alignment horizontal="center" vertical="center"/>
    </xf>
    <xf fontId="7" fillId="3" borderId="10" numFmtId="0" xfId="0" applyFont="1" applyFill="1" applyBorder="1" applyAlignment="1">
      <alignment horizontal="center" vertical="center"/>
    </xf>
    <xf fontId="5" fillId="0" borderId="11" numFmtId="0" xfId="0" applyFont="1" applyBorder="1"/>
    <xf fontId="5" fillId="0" borderId="12" numFmtId="0" xfId="0" applyFont="1" applyBorder="1"/>
    <xf fontId="0" fillId="0" borderId="12" numFmtId="0" xfId="0" applyBorder="1"/>
    <xf fontId="8" fillId="0" borderId="0" numFmtId="0" xfId="0" applyFont="1" applyAlignment="1">
      <alignment horizontal="center" vertical="center" wrapText="1"/>
    </xf>
    <xf fontId="1" fillId="0" borderId="14" numFmtId="0" xfId="0" applyFont="1" applyBorder="1" applyAlignment="1">
      <alignment horizontal="center" vertical="center" wrapText="1"/>
    </xf>
    <xf fontId="5" fillId="0" borderId="12" numFmtId="49" xfId="0" applyNumberFormat="1" applyFont="1" applyBorder="1" applyAlignment="1">
      <alignment horizontal="center" vertical="center" wrapText="1"/>
    </xf>
    <xf fontId="5" fillId="0" borderId="12" numFmtId="0" xfId="0" applyFont="1" applyBorder="1" applyAlignment="1">
      <alignment horizontal="left" indent="1" vertical="center" wrapText="1"/>
    </xf>
    <xf fontId="1" fillId="0" borderId="15" numFmtId="0" xfId="0" applyFont="1" applyBorder="1" applyAlignment="1">
      <alignment horizontal="center" vertical="center" wrapText="1"/>
    </xf>
    <xf fontId="9" fillId="0" borderId="15" numFmtId="0" xfId="0" applyFont="1" applyBorder="1" applyAlignment="1">
      <alignment vertical="center" wrapText="1"/>
    </xf>
    <xf fontId="5" fillId="0" borderId="15" numFmtId="0" xfId="0" applyFont="1" applyBorder="1" applyAlignment="1">
      <alignment horizontal="center" vertical="center" wrapText="1"/>
    </xf>
    <xf fontId="5" fillId="0" borderId="16" numFmtId="162" xfId="0" applyNumberFormat="1" applyFont="1" applyBorder="1" applyAlignment="1">
      <alignment horizontal="center" vertical="center" wrapText="1"/>
    </xf>
    <xf fontId="10" fillId="0" borderId="11" numFmtId="0" xfId="0" applyFont="1" applyBorder="1" applyAlignment="1">
      <alignment horizontal="center" vertical="center" wrapText="1"/>
    </xf>
    <xf fontId="10" fillId="0" borderId="12" numFmtId="0" xfId="0" applyFont="1" applyBorder="1" applyAlignment="1">
      <alignment horizontal="center" vertical="center" wrapText="1"/>
    </xf>
    <xf fontId="6" fillId="0" borderId="17" numFmtId="0" xfId="0" applyFont="1" applyBorder="1" applyAlignment="1">
      <alignment horizontal="center" textRotation="90" vertical="center" wrapText="1"/>
    </xf>
    <xf fontId="1" fillId="0" borderId="18" numFmtId="0" xfId="0" applyFont="1" applyBorder="1" applyAlignment="1">
      <alignment horizontal="center" vertical="center" wrapText="1"/>
    </xf>
    <xf fontId="1" fillId="0" borderId="12" numFmtId="0" xfId="0" applyFont="1" applyBorder="1" applyAlignment="1">
      <alignment horizontal="center" vertical="center" wrapText="1"/>
    </xf>
    <xf fontId="9" fillId="0" borderId="12" numFmtId="0" xfId="0" applyFont="1" applyBorder="1" applyAlignment="1">
      <alignment horizontal="center" vertical="center" wrapText="1"/>
    </xf>
    <xf fontId="5" fillId="0" borderId="19" numFmtId="162" xfId="0" applyNumberFormat="1" applyFont="1" applyBorder="1" applyAlignment="1">
      <alignment horizontal="center" vertical="center" wrapText="1"/>
    </xf>
    <xf fontId="9" fillId="0" borderId="19" numFmtId="162" xfId="0" applyNumberFormat="1" applyFont="1" applyBorder="1" applyAlignment="1">
      <alignment horizontal="center" vertical="center" wrapText="1"/>
    </xf>
    <xf fontId="1" fillId="0" borderId="20" numFmtId="0" xfId="0" applyFont="1" applyBorder="1" applyAlignment="1">
      <alignment horizontal="center" vertical="center" wrapText="1"/>
    </xf>
    <xf fontId="9" fillId="0" borderId="20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left" indent="1" vertical="center" wrapText="1"/>
    </xf>
    <xf fontId="1" fillId="4" borderId="4" numFmtId="0" xfId="0" applyFont="1" applyFill="1" applyBorder="1" applyAlignment="1">
      <alignment horizontal="center" vertical="center"/>
    </xf>
    <xf fontId="1" fillId="0" borderId="21" numFmtId="161" xfId="1" applyNumberFormat="1" applyFont="1" applyBorder="1" applyAlignment="1">
      <alignment vertical="center" wrapText="1"/>
    </xf>
    <xf fontId="7" fillId="3" borderId="22" numFmtId="0" xfId="0" applyFont="1" applyFill="1" applyBorder="1" applyAlignment="1">
      <alignment horizontal="center" vertical="center"/>
    </xf>
    <xf fontId="7" fillId="3" borderId="23" numFmtId="0" xfId="0" applyFont="1" applyFill="1" applyBorder="1" applyAlignment="1">
      <alignment horizontal="center" vertical="center"/>
    </xf>
    <xf fontId="7" fillId="3" borderId="24" numFmtId="0" xfId="0" applyFont="1" applyFill="1" applyBorder="1" applyAlignment="1">
      <alignment horizontal="center" vertical="center"/>
    </xf>
    <xf fontId="11" fillId="3" borderId="17" numFmtId="0" xfId="0" applyFont="1" applyFill="1" applyBorder="1" applyAlignment="1">
      <alignment horizontal="center" textRotation="90" vertical="center" wrapText="1"/>
    </xf>
    <xf fontId="1" fillId="0" borderId="1" numFmtId="0" xfId="0" applyFont="1" applyBorder="1" applyAlignment="1">
      <alignment horizontal="center" vertical="center" wrapText="1"/>
    </xf>
    <xf fontId="10" fillId="0" borderId="2" numFmtId="49" xfId="0" applyNumberFormat="1" applyFont="1" applyBorder="1" applyAlignment="1">
      <alignment horizontal="center" vertical="center" wrapText="1"/>
    </xf>
    <xf fontId="5" fillId="0" borderId="2" numFmtId="0" xfId="0" applyFont="1" applyBorder="1" applyAlignment="1">
      <alignment horizontal="center" vertical="center" wrapText="1"/>
    </xf>
    <xf fontId="10" fillId="5" borderId="2" numFmtId="0" xfId="0" applyFont="1" applyFill="1" applyBorder="1" applyAlignment="1">
      <alignment horizontal="center" vertical="center"/>
    </xf>
    <xf fontId="10" fillId="0" borderId="25" numFmtId="162" xfId="0" applyNumberFormat="1" applyFont="1" applyBorder="1" applyAlignment="1">
      <alignment horizontal="center" vertical="center" wrapText="1"/>
    </xf>
    <xf fontId="10" fillId="5" borderId="12" numFmtId="0" xfId="0" applyFont="1" applyFill="1" applyBorder="1" applyAlignment="1">
      <alignment horizontal="center" vertical="center"/>
    </xf>
    <xf fontId="10" fillId="0" borderId="19" numFmtId="162" xfId="0" applyNumberFormat="1" applyFont="1" applyBorder="1" applyAlignment="1">
      <alignment horizontal="center" vertical="center" wrapText="1"/>
    </xf>
    <xf fontId="10" fillId="0" borderId="12" numFmtId="49" xfId="0" applyNumberFormat="1" applyFont="1" applyBorder="1" applyAlignment="1">
      <alignment horizontal="center" vertical="center" wrapText="1"/>
    </xf>
    <xf fontId="8" fillId="0" borderId="12" numFmtId="0" xfId="0" applyFont="1" applyBorder="1" applyAlignment="1">
      <alignment horizontal="center" vertical="center" wrapText="1"/>
    </xf>
    <xf fontId="10" fillId="6" borderId="12" numFmtId="0" xfId="0" applyFont="1" applyFill="1" applyBorder="1" applyAlignment="1">
      <alignment horizontal="center" vertical="center"/>
    </xf>
    <xf fontId="1" fillId="0" borderId="19" numFmtId="162" xfId="0" applyNumberFormat="1" applyFont="1" applyBorder="1" applyAlignment="1">
      <alignment horizontal="center" vertical="center" wrapText="1"/>
    </xf>
    <xf fontId="8" fillId="0" borderId="11" numFmtId="0" xfId="0" applyFont="1" applyBorder="1" applyAlignment="1">
      <alignment horizontal="center" vertical="center" wrapText="1"/>
    </xf>
    <xf fontId="12" fillId="0" borderId="12" numFmtId="0" xfId="0" applyFont="1" applyBorder="1" applyAlignment="1">
      <alignment horizontal="center" vertical="center" wrapText="1"/>
    </xf>
    <xf fontId="13" fillId="4" borderId="12" numFmtId="0" xfId="0" applyFont="1" applyFill="1" applyBorder="1" applyAlignment="1">
      <alignment horizontal="center" vertical="center"/>
    </xf>
    <xf fontId="10" fillId="4" borderId="12" numFmtId="0" xfId="0" applyFont="1" applyFill="1" applyBorder="1" applyAlignment="1">
      <alignment horizontal="center" vertical="center"/>
    </xf>
    <xf fontId="14" fillId="7" borderId="12" numFmtId="0" xfId="0" applyFont="1" applyFill="1" applyBorder="1" applyAlignment="1">
      <alignment horizontal="center" vertical="center"/>
    </xf>
    <xf fontId="10" fillId="0" borderId="0" numFmtId="0" xfId="0" applyFont="1" applyAlignment="1">
      <alignment horizontal="center" vertical="center" wrapText="1"/>
    </xf>
    <xf fontId="13" fillId="8" borderId="12" numFmtId="0" xfId="0" applyFont="1" applyFill="1" applyBorder="1" applyAlignment="1">
      <alignment horizontal="center" vertical="center"/>
    </xf>
    <xf fontId="5" fillId="0" borderId="19" numFmtId="161" xfId="0" applyNumberFormat="1" applyFont="1" applyBorder="1" applyAlignment="1">
      <alignment horizontal="center" vertical="center" wrapText="1"/>
    </xf>
    <xf fontId="1" fillId="6" borderId="12" numFmtId="0" xfId="0" applyFont="1" applyFill="1" applyBorder="1" applyAlignment="1">
      <alignment horizontal="center" vertical="center"/>
    </xf>
    <xf fontId="1" fillId="0" borderId="19" numFmtId="161" xfId="0" applyNumberFormat="1" applyFont="1" applyBorder="1" applyAlignment="1">
      <alignment horizontal="center" vertical="center" wrapText="1"/>
    </xf>
    <xf fontId="15" fillId="7" borderId="12" numFmtId="0" xfId="0" applyFont="1" applyFill="1" applyBorder="1" applyAlignment="1">
      <alignment horizontal="center" vertical="center"/>
    </xf>
    <xf fontId="1" fillId="0" borderId="12" numFmtId="0" xfId="0" applyFont="1" applyBorder="1" applyAlignment="1">
      <alignment horizontal="left" indent="1" vertical="center" wrapText="1"/>
    </xf>
    <xf fontId="16" fillId="4" borderId="12" numFmtId="0" xfId="0" applyFont="1" applyFill="1" applyBorder="1" applyAlignment="1">
      <alignment horizontal="center" vertical="center"/>
    </xf>
    <xf fontId="9" fillId="0" borderId="19" numFmtId="163" xfId="1" applyNumberFormat="1" applyFont="1" applyBorder="1" applyAlignment="1">
      <alignment vertical="center" wrapText="1"/>
    </xf>
    <xf fontId="5" fillId="0" borderId="17" numFmtId="0" xfId="0" applyFont="1" applyBorder="1"/>
    <xf fontId="1" fillId="0" borderId="3" numFmtId="0" xfId="0" applyFont="1" applyBorder="1" applyAlignment="1">
      <alignment horizontal="center" vertical="center" wrapText="1"/>
    </xf>
    <xf fontId="5" fillId="0" borderId="5" numFmtId="0" xfId="0" applyFont="1" applyBorder="1"/>
    <xf fontId="7" fillId="3" borderId="5" numFmtId="0" xfId="0" applyFont="1" applyFill="1" applyBorder="1" applyAlignment="1">
      <alignment horizontal="center" vertical="center" wrapText="1"/>
    </xf>
    <xf fontId="7" fillId="3" borderId="0" numFmtId="0" xfId="0" applyFont="1" applyFill="1" applyAlignment="1">
      <alignment horizontal="center" vertical="center" wrapText="1"/>
    </xf>
    <xf fontId="7" fillId="3" borderId="6" numFmtId="0" xfId="0" applyFont="1" applyFill="1" applyBorder="1" applyAlignment="1">
      <alignment horizontal="center" vertical="center" wrapText="1"/>
    </xf>
    <xf fontId="5" fillId="0" borderId="26" numFmtId="0" xfId="0" applyFont="1" applyBorder="1" applyAlignment="1">
      <alignment horizontal="center" vertical="center"/>
    </xf>
    <xf fontId="5" fillId="0" borderId="2" numFmtId="0" xfId="0" applyFont="1" applyBorder="1" applyAlignment="1">
      <alignment horizontal="left" indent="1" vertical="center" wrapText="1"/>
    </xf>
    <xf fontId="7" fillId="0" borderId="2" numFmtId="0" xfId="0" applyFont="1" applyBorder="1" applyAlignment="1">
      <alignment horizontal="center" vertical="center"/>
    </xf>
    <xf fontId="1" fillId="0" borderId="2" numFmtId="0" xfId="0" applyFont="1" applyBorder="1"/>
    <xf fontId="5" fillId="0" borderId="2" numFmtId="0" xfId="0" applyFont="1" applyBorder="1" applyAlignment="1">
      <alignment horizontal="center" vertical="center"/>
    </xf>
    <xf fontId="5" fillId="0" borderId="25" numFmtId="164" xfId="1" applyNumberFormat="1" applyFont="1" applyBorder="1" applyAlignment="1">
      <alignment horizontal="center" vertical="center"/>
    </xf>
    <xf fontId="5" fillId="0" borderId="17" numFmtId="0" xfId="0" applyFont="1" applyBorder="1" applyAlignment="1">
      <alignment horizontal="center" vertical="center"/>
    </xf>
    <xf fontId="7" fillId="0" borderId="12" numFmtId="0" xfId="0" applyFont="1" applyBorder="1" applyAlignment="1">
      <alignment horizontal="center" vertical="center"/>
    </xf>
    <xf fontId="1" fillId="0" borderId="12" numFmtId="0" xfId="0" applyFont="1" applyBorder="1"/>
    <xf fontId="5" fillId="0" borderId="12" numFmtId="0" xfId="0" applyFont="1" applyBorder="1" applyAlignment="1">
      <alignment horizontal="center" vertical="center"/>
    </xf>
    <xf fontId="5" fillId="0" borderId="19" numFmtId="164" xfId="1" applyNumberFormat="1" applyFont="1" applyBorder="1" applyAlignment="1">
      <alignment horizontal="center" vertical="center"/>
    </xf>
    <xf fontId="0" fillId="0" borderId="27" numFmtId="0" xfId="0" applyBorder="1" applyAlignment="1">
      <alignment horizontal="center" vertical="center"/>
    </xf>
    <xf fontId="5" fillId="0" borderId="4" numFmtId="0" xfId="0" applyFont="1" applyBorder="1" applyAlignment="1">
      <alignment horizontal="center" vertical="center" wrapText="1"/>
    </xf>
    <xf fontId="5" fillId="0" borderId="4" numFmtId="0" xfId="0" applyFont="1" applyBorder="1" applyAlignment="1">
      <alignment horizontal="left" indent="1" vertical="center" wrapText="1"/>
    </xf>
    <xf fontId="7" fillId="0" borderId="4" numFmtId="0" xfId="0" applyFont="1" applyBorder="1" applyAlignment="1">
      <alignment horizontal="center" vertical="center"/>
    </xf>
    <xf fontId="1" fillId="0" borderId="4" numFmtId="0" xfId="0" applyFont="1" applyBorder="1"/>
    <xf fontId="5" fillId="0" borderId="4" numFmtId="0" xfId="0" applyFont="1" applyBorder="1" applyAlignment="1">
      <alignment horizontal="center" vertical="center"/>
    </xf>
    <xf fontId="5" fillId="0" borderId="21" numFmtId="164" xfId="1" applyNumberFormat="1" applyFont="1" applyBorder="1" applyAlignment="1">
      <alignment horizontal="center" vertical="center"/>
    </xf>
    <xf fontId="0" fillId="0" borderId="11" numFmtId="0" xfId="0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jpg"/><Relationship Id="rId9" Type="http://schemas.openxmlformats.org/officeDocument/2006/relationships/image" Target="../media/image9.jpg"/><Relationship Id="rId10" Type="http://schemas.openxmlformats.org/officeDocument/2006/relationships/image" Target="../media/image10.jpg"/><Relationship Id="rId11" Type="http://schemas.openxmlformats.org/officeDocument/2006/relationships/image" Target="../media/image11.jpg"/><Relationship Id="rId12" Type="http://schemas.openxmlformats.org/officeDocument/2006/relationships/image" Target="../media/image12.jpg"/><Relationship Id="rId13" Type="http://schemas.openxmlformats.org/officeDocument/2006/relationships/image" Target="../media/image13.jpg"/><Relationship Id="rId14" Type="http://schemas.openxmlformats.org/officeDocument/2006/relationships/image" Target="../media/image14.jpg"/><Relationship Id="rId15" Type="http://schemas.openxmlformats.org/officeDocument/2006/relationships/image" Target="../media/image15.jpg"/><Relationship Id="rId16" Type="http://schemas.openxmlformats.org/officeDocument/2006/relationships/image" Target="../media/image16.jpg"/><Relationship Id="rId17" Type="http://schemas.openxmlformats.org/officeDocument/2006/relationships/image" Target="../media/image17.jpg"/><Relationship Id="rId18" Type="http://schemas.openxmlformats.org/officeDocument/2006/relationships/image" Target="../media/image18.jpg"/><Relationship Id="rId19" Type="http://schemas.openxmlformats.org/officeDocument/2006/relationships/image" Target="../media/image19.jpg"/><Relationship Id="rId20" Type="http://schemas.openxmlformats.org/officeDocument/2006/relationships/image" Target="../media/image20.jpg"/><Relationship Id="rId21" Type="http://schemas.openxmlformats.org/officeDocument/2006/relationships/image" Target="../media/image21.jpg"/><Relationship Id="rId22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71563</xdr:colOff>
      <xdr:row>30</xdr:row>
      <xdr:rowOff>0</xdr:rowOff>
    </xdr:from>
    <xdr:to>
      <xdr:col>5</xdr:col>
      <xdr:colOff>1681025</xdr:colOff>
      <xdr:row>30</xdr:row>
      <xdr:rowOff>0</xdr:rowOff>
    </xdr:to>
    <xdr:pic>
      <xdr:nvPicPr>
        <xdr:cNvPr id="7" name="Picture 10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 rot="16199998">
          <a:off x="5777991" y="20582020"/>
          <a:ext cx="483605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571500</xdr:colOff>
      <xdr:row>30</xdr:row>
      <xdr:rowOff>89647</xdr:rowOff>
    </xdr:from>
    <xdr:to>
      <xdr:col>5</xdr:col>
      <xdr:colOff>1171163</xdr:colOff>
      <xdr:row>30</xdr:row>
      <xdr:rowOff>694764</xdr:rowOff>
    </xdr:to>
    <xdr:pic>
      <xdr:nvPicPr>
        <xdr:cNvPr id="36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715000" y="39713647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481854</xdr:colOff>
      <xdr:row>31</xdr:row>
      <xdr:rowOff>45945</xdr:rowOff>
    </xdr:from>
    <xdr:to>
      <xdr:col>5</xdr:col>
      <xdr:colOff>1314720</xdr:colOff>
      <xdr:row>31</xdr:row>
      <xdr:rowOff>850933</xdr:rowOff>
    </xdr:to>
    <xdr:pic>
      <xdr:nvPicPr>
        <xdr:cNvPr id="38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625354" y="40409533"/>
          <a:ext cx="832866" cy="8129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506672</xdr:colOff>
      <xdr:row>24</xdr:row>
      <xdr:rowOff>114198</xdr:rowOff>
    </xdr:from>
    <xdr:to>
      <xdr:col>5</xdr:col>
      <xdr:colOff>1360714</xdr:colOff>
      <xdr:row>24</xdr:row>
      <xdr:rowOff>918328</xdr:rowOff>
    </xdr:to>
    <xdr:pic>
      <xdr:nvPicPr>
        <xdr:cNvPr id="31" name="Picture 9"/>
        <xdr:cNvPicPr>
          <a:picLocks noChangeAspect="1" noChangeArrowheads="1"/>
        </xdr:cNvPicPr>
      </xdr:nvPicPr>
      <xdr:blipFill>
        <a:blip r:embed="rId3"/>
        <a:stretch/>
      </xdr:blipFill>
      <xdr:spPr bwMode="auto">
        <a:xfrm>
          <a:off x="5636565" y="17708234"/>
          <a:ext cx="854042" cy="8041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481854</xdr:colOff>
      <xdr:row>31</xdr:row>
      <xdr:rowOff>45945</xdr:rowOff>
    </xdr:from>
    <xdr:to>
      <xdr:col>5</xdr:col>
      <xdr:colOff>1314720</xdr:colOff>
      <xdr:row>31</xdr:row>
      <xdr:rowOff>850934</xdr:rowOff>
    </xdr:to>
    <xdr:pic>
      <xdr:nvPicPr>
        <xdr:cNvPr id="43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615829" y="25982520"/>
          <a:ext cx="832866" cy="8090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504266</xdr:colOff>
      <xdr:row>32</xdr:row>
      <xdr:rowOff>79562</xdr:rowOff>
    </xdr:from>
    <xdr:to>
      <xdr:col>5</xdr:col>
      <xdr:colOff>1332940</xdr:colOff>
      <xdr:row>32</xdr:row>
      <xdr:rowOff>774886</xdr:rowOff>
    </xdr:to>
    <xdr:pic>
      <xdr:nvPicPr>
        <xdr:cNvPr id="44" name="Picture 1" descr="комплектующие для маф крышки для деревянных столбов"/>
        <xdr:cNvPicPr>
          <a:picLocks noChangeAspect="1" noChangeArrowheads="1"/>
        </xdr:cNvPicPr>
      </xdr:nvPicPr>
      <xdr:blipFill>
        <a:blip r:embed="rId4">
          <a:grayscl/>
        </a:blip>
        <a:srcRect l="0" t="8989" r="0" b="8989"/>
        <a:stretch/>
      </xdr:blipFill>
      <xdr:spPr bwMode="auto">
        <a:xfrm>
          <a:off x="5638241" y="26863862"/>
          <a:ext cx="828674" cy="6953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481854</xdr:colOff>
      <xdr:row>31</xdr:row>
      <xdr:rowOff>45945</xdr:rowOff>
    </xdr:from>
    <xdr:to>
      <xdr:col>5</xdr:col>
      <xdr:colOff>1314720</xdr:colOff>
      <xdr:row>31</xdr:row>
      <xdr:rowOff>850926</xdr:rowOff>
    </xdr:to>
    <xdr:pic>
      <xdr:nvPicPr>
        <xdr:cNvPr id="45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615829" y="25982520"/>
          <a:ext cx="832866" cy="80906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0</xdr:colOff>
      <xdr:row>2</xdr:row>
      <xdr:rowOff>1751848</xdr:rowOff>
    </xdr:from>
    <xdr:to>
      <xdr:col>4</xdr:col>
      <xdr:colOff>353784</xdr:colOff>
      <xdr:row>2</xdr:row>
      <xdr:rowOff>5170713</xdr:rowOff>
    </xdr:to>
    <xdr:pic>
      <xdr:nvPicPr>
        <xdr:cNvPr id="118" name="Рисунок 117" descr="2-11_вид 2.jpg"/>
        <xdr:cNvPicPr>
          <a:picLocks noChangeAspect="1"/>
        </xdr:cNvPicPr>
      </xdr:nvPicPr>
      <xdr:blipFill>
        <a:blip r:embed="rId5"/>
        <a:srcRect l="0" t="6459" r="0" b="6753"/>
        <a:stretch/>
      </xdr:blipFill>
      <xdr:spPr bwMode="auto">
        <a:xfrm>
          <a:off x="0" y="2268920"/>
          <a:ext cx="4708071" cy="3418865"/>
        </a:xfrm>
        <a:prstGeom prst="rect">
          <a:avLst/>
        </a:prstGeom>
      </xdr:spPr>
    </xdr:pic>
    <xdr:clientData/>
  </xdr:twoCellAnchor>
  <xdr:twoCellAnchor editAs="oneCell">
    <xdr:from>
      <xdr:col>5</xdr:col>
      <xdr:colOff>1261520</xdr:colOff>
      <xdr:row>2</xdr:row>
      <xdr:rowOff>2258784</xdr:rowOff>
    </xdr:from>
    <xdr:to>
      <xdr:col>10</xdr:col>
      <xdr:colOff>602387</xdr:colOff>
      <xdr:row>2</xdr:row>
      <xdr:rowOff>5129892</xdr:rowOff>
    </xdr:to>
    <xdr:pic>
      <xdr:nvPicPr>
        <xdr:cNvPr id="119" name="Рисунок 118" descr="2-11_вид 2.jpg"/>
        <xdr:cNvPicPr>
          <a:picLocks noChangeAspect="1"/>
        </xdr:cNvPicPr>
      </xdr:nvPicPr>
      <xdr:blipFill>
        <a:blip r:embed="rId6"/>
        <a:srcRect l="0" t="6260" r="0" b="6567"/>
        <a:stretch/>
      </xdr:blipFill>
      <xdr:spPr bwMode="auto">
        <a:xfrm>
          <a:off x="6391413" y="2775856"/>
          <a:ext cx="4212225" cy="2871107"/>
        </a:xfrm>
        <a:prstGeom prst="rect">
          <a:avLst/>
        </a:prstGeom>
      </xdr:spPr>
    </xdr:pic>
    <xdr:clientData/>
  </xdr:twoCellAnchor>
  <xdr:twoCellAnchor editAs="twoCell">
    <xdr:from>
      <xdr:col>5</xdr:col>
      <xdr:colOff>499548</xdr:colOff>
      <xdr:row>16</xdr:row>
      <xdr:rowOff>102031</xdr:rowOff>
    </xdr:from>
    <xdr:to>
      <xdr:col>5</xdr:col>
      <xdr:colOff>1347108</xdr:colOff>
      <xdr:row>16</xdr:row>
      <xdr:rowOff>839841</xdr:rowOff>
    </xdr:to>
    <xdr:pic>
      <xdr:nvPicPr>
        <xdr:cNvPr id="48" name="Picture 9"/>
        <xdr:cNvPicPr>
          <a:picLocks noChangeAspect="1" noChangeArrowheads="1"/>
        </xdr:cNvPicPr>
      </xdr:nvPicPr>
      <xdr:blipFill>
        <a:blip r:embed="rId7"/>
        <a:stretch/>
      </xdr:blipFill>
      <xdr:spPr bwMode="auto">
        <a:xfrm>
          <a:off x="5629441" y="12294031"/>
          <a:ext cx="847560" cy="7378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507146</xdr:colOff>
      <xdr:row>17</xdr:row>
      <xdr:rowOff>167367</xdr:rowOff>
    </xdr:from>
    <xdr:to>
      <xdr:col>5</xdr:col>
      <xdr:colOff>1334861</xdr:colOff>
      <xdr:row>17</xdr:row>
      <xdr:rowOff>677214</xdr:rowOff>
    </xdr:to>
    <xdr:pic>
      <xdr:nvPicPr>
        <xdr:cNvPr id="49" name="Picture 9"/>
        <xdr:cNvPicPr>
          <a:picLocks noChangeAspect="1" noChangeArrowheads="1"/>
        </xdr:cNvPicPr>
      </xdr:nvPicPr>
      <xdr:blipFill>
        <a:blip r:embed="rId8"/>
        <a:stretch/>
      </xdr:blipFill>
      <xdr:spPr bwMode="auto">
        <a:xfrm>
          <a:off x="5637040" y="13311867"/>
          <a:ext cx="827714" cy="50984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1224644</xdr:colOff>
      <xdr:row>2</xdr:row>
      <xdr:rowOff>45499</xdr:rowOff>
    </xdr:from>
    <xdr:to>
      <xdr:col>5</xdr:col>
      <xdr:colOff>1333500</xdr:colOff>
      <xdr:row>2</xdr:row>
      <xdr:rowOff>3102430</xdr:rowOff>
    </xdr:to>
    <xdr:pic>
      <xdr:nvPicPr>
        <xdr:cNvPr id="117" name="Рисунок 116" descr="2-11_вид 2.jpg"/>
        <xdr:cNvPicPr>
          <a:picLocks noChangeAspect="1"/>
        </xdr:cNvPicPr>
      </xdr:nvPicPr>
      <xdr:blipFill>
        <a:blip r:embed="rId9"/>
        <a:srcRect l="6510" t="3256" r="5147" b="7906"/>
        <a:stretch/>
      </xdr:blipFill>
      <xdr:spPr bwMode="auto">
        <a:xfrm>
          <a:off x="2830287" y="712249"/>
          <a:ext cx="3633106" cy="3056931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5</xdr:col>
      <xdr:colOff>17426</xdr:colOff>
      <xdr:row>12</xdr:row>
      <xdr:rowOff>114162</xdr:rowOff>
    </xdr:from>
    <xdr:to>
      <xdr:col>5</xdr:col>
      <xdr:colOff>1694208</xdr:colOff>
      <xdr:row>12</xdr:row>
      <xdr:rowOff>1006929</xdr:rowOff>
    </xdr:to>
    <xdr:pic>
      <xdr:nvPicPr>
        <xdr:cNvPr id="33" name="Рисунок 32" descr="Пол мостика 1500.jpg"/>
        <xdr:cNvPicPr>
          <a:picLocks noChangeAspect="1"/>
        </xdr:cNvPicPr>
      </xdr:nvPicPr>
      <xdr:blipFill>
        <a:blip r:embed="rId10"/>
        <a:stretch/>
      </xdr:blipFill>
      <xdr:spPr bwMode="auto">
        <a:xfrm>
          <a:off x="5351428" y="223627812"/>
          <a:ext cx="1676780" cy="892767"/>
        </a:xfrm>
        <a:prstGeom prst="rect">
          <a:avLst/>
        </a:prstGeom>
      </xdr:spPr>
    </xdr:pic>
    <xdr:clientData/>
  </xdr:twoCellAnchor>
  <xdr:twoCellAnchor editAs="twoCell">
    <xdr:from>
      <xdr:col>5</xdr:col>
      <xdr:colOff>68035</xdr:colOff>
      <xdr:row>12</xdr:row>
      <xdr:rowOff>168592</xdr:rowOff>
    </xdr:from>
    <xdr:to>
      <xdr:col>5</xdr:col>
      <xdr:colOff>1653386</xdr:colOff>
      <xdr:row>12</xdr:row>
      <xdr:rowOff>1012680</xdr:rowOff>
    </xdr:to>
    <xdr:pic>
      <xdr:nvPicPr>
        <xdr:cNvPr id="35" name="Рисунок 34" descr="Пол мостика 1500.jpg"/>
        <xdr:cNvPicPr>
          <a:picLocks noChangeAspect="1"/>
        </xdr:cNvPicPr>
      </xdr:nvPicPr>
      <xdr:blipFill>
        <a:blip r:embed="rId10"/>
        <a:stretch/>
      </xdr:blipFill>
      <xdr:spPr bwMode="auto">
        <a:xfrm>
          <a:off x="5197928" y="9258163"/>
          <a:ext cx="1585351" cy="844088"/>
        </a:xfrm>
        <a:prstGeom prst="rect">
          <a:avLst/>
        </a:prstGeom>
      </xdr:spPr>
    </xdr:pic>
    <xdr:clientData/>
  </xdr:twoCellAnchor>
  <xdr:twoCellAnchor editAs="twoCell">
    <xdr:from>
      <xdr:col>5</xdr:col>
      <xdr:colOff>54428</xdr:colOff>
      <xdr:row>13</xdr:row>
      <xdr:rowOff>162697</xdr:rowOff>
    </xdr:from>
    <xdr:to>
      <xdr:col>5</xdr:col>
      <xdr:colOff>1694208</xdr:colOff>
      <xdr:row>13</xdr:row>
      <xdr:rowOff>659035</xdr:rowOff>
    </xdr:to>
    <xdr:pic>
      <xdr:nvPicPr>
        <xdr:cNvPr id="37" name="Рисунок 36" descr="Пол мостика 1500.jpg"/>
        <xdr:cNvPicPr>
          <a:picLocks noChangeAspect="1"/>
        </xdr:cNvPicPr>
      </xdr:nvPicPr>
      <xdr:blipFill>
        <a:blip r:embed="rId11"/>
        <a:stretch/>
      </xdr:blipFill>
      <xdr:spPr bwMode="auto">
        <a:xfrm>
          <a:off x="5184321" y="10449697"/>
          <a:ext cx="1639780" cy="496339"/>
        </a:xfrm>
        <a:prstGeom prst="rect">
          <a:avLst/>
        </a:prstGeom>
      </xdr:spPr>
    </xdr:pic>
    <xdr:clientData/>
  </xdr:twoCellAnchor>
  <xdr:twoCellAnchor editAs="twoCell">
    <xdr:from>
      <xdr:col>5</xdr:col>
      <xdr:colOff>228996</xdr:colOff>
      <xdr:row>14</xdr:row>
      <xdr:rowOff>108268</xdr:rowOff>
    </xdr:from>
    <xdr:to>
      <xdr:col>5</xdr:col>
      <xdr:colOff>1551214</xdr:colOff>
      <xdr:row>14</xdr:row>
      <xdr:rowOff>668222</xdr:rowOff>
    </xdr:to>
    <xdr:pic>
      <xdr:nvPicPr>
        <xdr:cNvPr id="39" name="Рисунок 38" descr="Пол мостика 1500.jpg"/>
        <xdr:cNvPicPr>
          <a:picLocks noChangeAspect="1"/>
        </xdr:cNvPicPr>
      </xdr:nvPicPr>
      <xdr:blipFill>
        <a:blip r:embed="rId12"/>
        <a:stretch/>
      </xdr:blipFill>
      <xdr:spPr bwMode="auto">
        <a:xfrm>
          <a:off x="5358889" y="11198089"/>
          <a:ext cx="1322218" cy="559956"/>
        </a:xfrm>
        <a:prstGeom prst="rect">
          <a:avLst/>
        </a:prstGeom>
      </xdr:spPr>
    </xdr:pic>
    <xdr:clientData/>
  </xdr:twoCellAnchor>
  <xdr:twoCellAnchor editAs="twoCell">
    <xdr:from>
      <xdr:col>5</xdr:col>
      <xdr:colOff>62526</xdr:colOff>
      <xdr:row>15</xdr:row>
      <xdr:rowOff>165036</xdr:rowOff>
    </xdr:from>
    <xdr:to>
      <xdr:col>5</xdr:col>
      <xdr:colOff>1741037</xdr:colOff>
      <xdr:row>15</xdr:row>
      <xdr:rowOff>476249</xdr:rowOff>
    </xdr:to>
    <xdr:pic>
      <xdr:nvPicPr>
        <xdr:cNvPr id="40" name="Рисунок 39" descr="Пол мостика 1500.jpg"/>
        <xdr:cNvPicPr>
          <a:picLocks noChangeAspect="1"/>
        </xdr:cNvPicPr>
      </xdr:nvPicPr>
      <xdr:blipFill>
        <a:blip r:embed="rId13"/>
        <a:stretch/>
      </xdr:blipFill>
      <xdr:spPr bwMode="auto">
        <a:xfrm>
          <a:off x="5396526" y="232184511"/>
          <a:ext cx="1678511" cy="311213"/>
        </a:xfrm>
        <a:prstGeom prst="rect">
          <a:avLst/>
        </a:prstGeom>
      </xdr:spPr>
    </xdr:pic>
    <xdr:clientData/>
  </xdr:twoCellAnchor>
  <xdr:twoCellAnchor editAs="twoCell">
    <xdr:from>
      <xdr:col>5</xdr:col>
      <xdr:colOff>292114</xdr:colOff>
      <xdr:row>18</xdr:row>
      <xdr:rowOff>108268</xdr:rowOff>
    </xdr:from>
    <xdr:to>
      <xdr:col>5</xdr:col>
      <xdr:colOff>1599490</xdr:colOff>
      <xdr:row>18</xdr:row>
      <xdr:rowOff>884464</xdr:rowOff>
    </xdr:to>
    <xdr:pic>
      <xdr:nvPicPr>
        <xdr:cNvPr id="41" name="Рисунок 40" descr="Пол мостика 1500.jpg"/>
        <xdr:cNvPicPr>
          <a:picLocks noChangeAspect="1"/>
        </xdr:cNvPicPr>
      </xdr:nvPicPr>
      <xdr:blipFill>
        <a:blip r:embed="rId14"/>
        <a:stretch/>
      </xdr:blipFill>
      <xdr:spPr bwMode="auto">
        <a:xfrm>
          <a:off x="5626115" y="226260343"/>
          <a:ext cx="1307375" cy="776196"/>
        </a:xfrm>
        <a:prstGeom prst="rect">
          <a:avLst/>
        </a:prstGeom>
      </xdr:spPr>
    </xdr:pic>
    <xdr:clientData/>
  </xdr:twoCellAnchor>
  <xdr:twoCellAnchor editAs="twoCell">
    <xdr:from>
      <xdr:col>5</xdr:col>
      <xdr:colOff>435428</xdr:colOff>
      <xdr:row>19</xdr:row>
      <xdr:rowOff>108267</xdr:rowOff>
    </xdr:from>
    <xdr:to>
      <xdr:col>5</xdr:col>
      <xdr:colOff>1374321</xdr:colOff>
      <xdr:row>19</xdr:row>
      <xdr:rowOff>1237094</xdr:rowOff>
    </xdr:to>
    <xdr:pic>
      <xdr:nvPicPr>
        <xdr:cNvPr id="42" name="Рисунок 41" descr="Пол мостика 1500.jpg"/>
        <xdr:cNvPicPr>
          <a:picLocks noChangeAspect="1"/>
        </xdr:cNvPicPr>
      </xdr:nvPicPr>
      <xdr:blipFill>
        <a:blip r:embed="rId15"/>
        <a:stretch/>
      </xdr:blipFill>
      <xdr:spPr bwMode="auto">
        <a:xfrm>
          <a:off x="5769428" y="227279517"/>
          <a:ext cx="938893" cy="1128828"/>
        </a:xfrm>
        <a:prstGeom prst="rect">
          <a:avLst/>
        </a:prstGeom>
      </xdr:spPr>
    </xdr:pic>
    <xdr:clientData/>
  </xdr:twoCellAnchor>
  <xdr:twoCellAnchor editAs="twoCell">
    <xdr:from>
      <xdr:col>5</xdr:col>
      <xdr:colOff>606813</xdr:colOff>
      <xdr:row>20</xdr:row>
      <xdr:rowOff>108267</xdr:rowOff>
    </xdr:from>
    <xdr:to>
      <xdr:col>5</xdr:col>
      <xdr:colOff>1202935</xdr:colOff>
      <xdr:row>20</xdr:row>
      <xdr:rowOff>1237094</xdr:rowOff>
    </xdr:to>
    <xdr:pic>
      <xdr:nvPicPr>
        <xdr:cNvPr id="46" name="Рисунок 45" descr="Пол мостика 1500.jpg"/>
        <xdr:cNvPicPr>
          <a:picLocks noChangeAspect="1"/>
        </xdr:cNvPicPr>
      </xdr:nvPicPr>
      <xdr:blipFill>
        <a:blip r:embed="rId16"/>
        <a:stretch/>
      </xdr:blipFill>
      <xdr:spPr bwMode="auto">
        <a:xfrm>
          <a:off x="5940813" y="228584442"/>
          <a:ext cx="596122" cy="1128828"/>
        </a:xfrm>
        <a:prstGeom prst="rect">
          <a:avLst/>
        </a:prstGeom>
      </xdr:spPr>
    </xdr:pic>
    <xdr:clientData/>
  </xdr:twoCellAnchor>
  <xdr:twoCellAnchor editAs="twoCell">
    <xdr:from>
      <xdr:col>5</xdr:col>
      <xdr:colOff>606813</xdr:colOff>
      <xdr:row>21</xdr:row>
      <xdr:rowOff>129379</xdr:rowOff>
    </xdr:from>
    <xdr:to>
      <xdr:col>5</xdr:col>
      <xdr:colOff>1202935</xdr:colOff>
      <xdr:row>21</xdr:row>
      <xdr:rowOff>1215982</xdr:rowOff>
    </xdr:to>
    <xdr:pic>
      <xdr:nvPicPr>
        <xdr:cNvPr id="54" name="Рисунок 53" descr="Пол мостика 1500.jpg"/>
        <xdr:cNvPicPr>
          <a:picLocks noChangeAspect="1"/>
        </xdr:cNvPicPr>
      </xdr:nvPicPr>
      <xdr:blipFill>
        <a:blip r:embed="rId17"/>
        <a:stretch/>
      </xdr:blipFill>
      <xdr:spPr bwMode="auto">
        <a:xfrm>
          <a:off x="5940813" y="229910480"/>
          <a:ext cx="596122" cy="1086602"/>
        </a:xfrm>
        <a:prstGeom prst="rect">
          <a:avLst/>
        </a:prstGeom>
      </xdr:spPr>
    </xdr:pic>
    <xdr:clientData/>
  </xdr:twoCellAnchor>
  <xdr:twoCellAnchor editAs="twoCell">
    <xdr:from>
      <xdr:col>5</xdr:col>
      <xdr:colOff>212205</xdr:colOff>
      <xdr:row>22</xdr:row>
      <xdr:rowOff>107811</xdr:rowOff>
    </xdr:from>
    <xdr:to>
      <xdr:col>5</xdr:col>
      <xdr:colOff>1508682</xdr:colOff>
      <xdr:row>22</xdr:row>
      <xdr:rowOff>789214</xdr:rowOff>
    </xdr:to>
    <xdr:pic>
      <xdr:nvPicPr>
        <xdr:cNvPr id="55" name="Рисунок 54" descr="Пол мостика 1500.jpg"/>
        <xdr:cNvPicPr>
          <a:picLocks noChangeAspect="1"/>
        </xdr:cNvPicPr>
      </xdr:nvPicPr>
      <xdr:blipFill>
        <a:blip r:embed="rId18"/>
        <a:stretch/>
      </xdr:blipFill>
      <xdr:spPr bwMode="auto">
        <a:xfrm>
          <a:off x="5546205" y="231193836"/>
          <a:ext cx="1296477" cy="681403"/>
        </a:xfrm>
        <a:prstGeom prst="rect">
          <a:avLst/>
        </a:prstGeom>
      </xdr:spPr>
    </xdr:pic>
    <xdr:clientData/>
  </xdr:twoCellAnchor>
  <xdr:twoCellAnchor editAs="twoCell">
    <xdr:from>
      <xdr:col>5</xdr:col>
      <xdr:colOff>367393</xdr:colOff>
      <xdr:row>23</xdr:row>
      <xdr:rowOff>95250</xdr:rowOff>
    </xdr:from>
    <xdr:to>
      <xdr:col>5</xdr:col>
      <xdr:colOff>1329956</xdr:colOff>
      <xdr:row>23</xdr:row>
      <xdr:rowOff>647629</xdr:rowOff>
    </xdr:to>
    <xdr:pic>
      <xdr:nvPicPr>
        <xdr:cNvPr id="56" name="Picture 9"/>
        <xdr:cNvPicPr>
          <a:picLocks noChangeAspect="1" noChangeArrowheads="1"/>
        </xdr:cNvPicPr>
      </xdr:nvPicPr>
      <xdr:blipFill>
        <a:blip r:embed="rId19"/>
        <a:stretch/>
      </xdr:blipFill>
      <xdr:spPr bwMode="auto">
        <a:xfrm>
          <a:off x="5701393" y="279777825"/>
          <a:ext cx="962563" cy="5523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520273</xdr:colOff>
      <xdr:row>25</xdr:row>
      <xdr:rowOff>80840</xdr:rowOff>
    </xdr:from>
    <xdr:to>
      <xdr:col>5</xdr:col>
      <xdr:colOff>1249589</xdr:colOff>
      <xdr:row>25</xdr:row>
      <xdr:rowOff>829235</xdr:rowOff>
    </xdr:to>
    <xdr:pic>
      <xdr:nvPicPr>
        <xdr:cNvPr id="57" name="Рисунок 56" descr="Пол мостика 1500.jpg"/>
        <xdr:cNvPicPr>
          <a:picLocks noChangeAspect="1"/>
        </xdr:cNvPicPr>
      </xdr:nvPicPr>
      <xdr:blipFill>
        <a:blip r:embed="rId20"/>
        <a:stretch/>
      </xdr:blipFill>
      <xdr:spPr bwMode="auto">
        <a:xfrm>
          <a:off x="5650166" y="22274090"/>
          <a:ext cx="729316" cy="748395"/>
        </a:xfrm>
        <a:prstGeom prst="rect">
          <a:avLst/>
        </a:prstGeom>
      </xdr:spPr>
    </xdr:pic>
    <xdr:clientData/>
  </xdr:twoCellAnchor>
  <xdr:twoCellAnchor editAs="twoCell">
    <xdr:from>
      <xdr:col>5</xdr:col>
      <xdr:colOff>432318</xdr:colOff>
      <xdr:row>27</xdr:row>
      <xdr:rowOff>81643</xdr:rowOff>
    </xdr:from>
    <xdr:to>
      <xdr:col>5</xdr:col>
      <xdr:colOff>1387927</xdr:colOff>
      <xdr:row>27</xdr:row>
      <xdr:rowOff>986512</xdr:rowOff>
    </xdr:to>
    <xdr:pic>
      <xdr:nvPicPr>
        <xdr:cNvPr id="60" name="Picture 9"/>
        <xdr:cNvPicPr>
          <a:picLocks noChangeAspect="1" noChangeArrowheads="1"/>
        </xdr:cNvPicPr>
      </xdr:nvPicPr>
      <xdr:blipFill>
        <a:blip r:embed="rId21"/>
        <a:stretch/>
      </xdr:blipFill>
      <xdr:spPr bwMode="auto">
        <a:xfrm>
          <a:off x="5766318" y="359107468"/>
          <a:ext cx="955609" cy="9048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136070</xdr:colOff>
      <xdr:row>26</xdr:row>
      <xdr:rowOff>27214</xdr:rowOff>
    </xdr:from>
    <xdr:to>
      <xdr:col>5</xdr:col>
      <xdr:colOff>1469571</xdr:colOff>
      <xdr:row>26</xdr:row>
      <xdr:rowOff>1171575</xdr:rowOff>
    </xdr:to>
    <xdr:pic>
      <xdr:nvPicPr>
        <xdr:cNvPr id="28" name="Рисунок 27"/>
        <xdr:cNvPicPr>
          <a:picLocks noChangeAspect="1" noChangeArrowheads="1"/>
        </xdr:cNvPicPr>
      </xdr:nvPicPr>
      <xdr:blipFill>
        <a:blip r:embed="rId22"/>
        <a:stretch/>
      </xdr:blipFill>
      <xdr:spPr bwMode="auto">
        <a:xfrm>
          <a:off x="5265964" y="23336251"/>
          <a:ext cx="1333500" cy="1144360"/>
        </a:xfrm>
        <a:prstGeom prst="rect">
          <a:avLst/>
        </a:prstGeom>
        <a:noFill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B4" zoomScale="70" workbookViewId="0">
      <selection activeCell="G6" activeCellId="0" sqref="G6:G10"/>
    </sheetView>
  </sheetViews>
  <sheetFormatPr defaultRowHeight="14.25"/>
  <cols>
    <col customWidth="1" hidden="1" min="1" max="1" width="6.28515625"/>
    <col customWidth="1" min="2" max="2" style="1" width="7.7109375"/>
    <col customWidth="1" min="3" max="3" width="16.28515625"/>
    <col customWidth="1" min="4" max="4" style="2" width="41.28515625"/>
    <col customWidth="1" min="5" max="5" style="3" width="11.7109375"/>
    <col customWidth="1" min="6" max="6" width="26.7109375"/>
    <col customWidth="1" min="7" max="7" width="12.85546875"/>
    <col customWidth="1" min="8" max="8" width="10.140625"/>
    <col customWidth="1" min="9" max="10" width="11.7109375"/>
    <col customWidth="1" min="11" max="11" style="4" width="12.28515625"/>
    <col customWidth="1" min="12" max="12" width="12.28515625"/>
    <col customWidth="1" min="13" max="13" width="6.5703125"/>
    <col customWidth="1" min="14" max="14" width="14.140625"/>
    <col customWidth="1" min="15" max="15" width="7.28515625"/>
    <col customWidth="1" min="16" max="16" width="10.140625"/>
  </cols>
  <sheetData>
    <row r="1" ht="2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ht="30.75" customHeight="1">
      <c r="A2" s="7"/>
      <c r="B2" s="8" t="s">
        <v>1</v>
      </c>
      <c r="C2" s="8"/>
      <c r="D2" s="8"/>
      <c r="E2" s="8"/>
      <c r="F2" s="8"/>
      <c r="G2" s="8"/>
      <c r="H2" s="8"/>
      <c r="I2" s="8"/>
      <c r="J2" s="8"/>
      <c r="K2" s="8"/>
    </row>
    <row r="3" ht="408.75" customHeight="1">
      <c r="A3" s="9"/>
      <c r="B3" s="10"/>
      <c r="C3" s="9"/>
      <c r="D3" s="9"/>
      <c r="E3" s="9"/>
      <c r="F3" s="9"/>
      <c r="G3" s="9"/>
      <c r="H3" s="9"/>
      <c r="I3" s="9"/>
      <c r="J3" s="9"/>
      <c r="K3" s="11"/>
    </row>
    <row r="4" ht="69" customHeight="1">
      <c r="A4" s="12"/>
      <c r="B4" s="13" t="s">
        <v>2</v>
      </c>
      <c r="C4" s="14" t="s">
        <v>3</v>
      </c>
      <c r="D4" s="15" t="s">
        <v>4</v>
      </c>
      <c r="E4" s="14" t="s">
        <v>5</v>
      </c>
      <c r="F4" s="14" t="s">
        <v>6</v>
      </c>
      <c r="G4" s="14" t="s">
        <v>7</v>
      </c>
      <c r="H4" s="16" t="s">
        <v>8</v>
      </c>
      <c r="I4" s="16" t="s">
        <v>9</v>
      </c>
      <c r="J4" s="16" t="s">
        <v>10</v>
      </c>
      <c r="K4" s="17" t="s">
        <v>11</v>
      </c>
      <c r="L4" s="18" t="s">
        <v>12</v>
      </c>
      <c r="M4" s="19" t="s">
        <v>13</v>
      </c>
      <c r="N4" s="20" t="s">
        <v>14</v>
      </c>
      <c r="O4" s="19" t="s">
        <v>15</v>
      </c>
      <c r="P4" s="21" t="s">
        <v>16</v>
      </c>
    </row>
    <row r="5" ht="15">
      <c r="A5" s="22"/>
      <c r="B5" s="23" t="s">
        <v>17</v>
      </c>
      <c r="C5" s="24"/>
      <c r="D5" s="24"/>
      <c r="E5" s="24"/>
      <c r="F5" s="24"/>
      <c r="G5" s="24"/>
      <c r="H5" s="24"/>
      <c r="I5" s="24"/>
      <c r="J5" s="24"/>
      <c r="K5" s="25"/>
      <c r="L5" s="26"/>
      <c r="M5" s="27"/>
      <c r="N5" s="27"/>
      <c r="O5" s="27"/>
      <c r="P5" s="28"/>
    </row>
    <row r="6" s="29" customFormat="1" ht="24" customHeight="1">
      <c r="A6" s="22"/>
      <c r="B6" s="30">
        <v>1</v>
      </c>
      <c r="C6" s="31" t="s">
        <v>18</v>
      </c>
      <c r="D6" s="32" t="s">
        <v>19</v>
      </c>
      <c r="E6" s="33">
        <v>2</v>
      </c>
      <c r="F6" s="34"/>
      <c r="G6" s="35" t="s">
        <v>20</v>
      </c>
      <c r="H6" s="35">
        <v>0.34999999999999998</v>
      </c>
      <c r="I6" s="35">
        <v>0.10000000000000001</v>
      </c>
      <c r="J6" s="35">
        <v>0.10000000000000001</v>
      </c>
      <c r="K6" s="36">
        <f t="shared" ref="K6:K10" si="0">H6*I6*J6</f>
        <v>0.0034999999999999996</v>
      </c>
      <c r="L6" s="37"/>
      <c r="M6" s="38"/>
      <c r="N6" s="38"/>
      <c r="O6" s="38"/>
      <c r="P6" s="38">
        <f t="shared" ref="P6:P33" si="1">K6*E6</f>
        <v>0.0069999999999999993</v>
      </c>
    </row>
    <row r="7" s="29" customFormat="1" ht="18.75" customHeight="1">
      <c r="A7" s="39"/>
      <c r="B7" s="40">
        <v>2</v>
      </c>
      <c r="C7" s="31" t="s">
        <v>21</v>
      </c>
      <c r="D7" s="32" t="s">
        <v>22</v>
      </c>
      <c r="E7" s="41">
        <v>1</v>
      </c>
      <c r="F7" s="42"/>
      <c r="G7" s="20" t="s">
        <v>20</v>
      </c>
      <c r="H7" s="20">
        <v>0.75</v>
      </c>
      <c r="I7" s="20">
        <v>0.10000000000000001</v>
      </c>
      <c r="J7" s="20">
        <v>0.10000000000000001</v>
      </c>
      <c r="K7" s="43">
        <f t="shared" si="0"/>
        <v>0.0075000000000000015</v>
      </c>
      <c r="L7" s="26"/>
      <c r="M7" s="27"/>
      <c r="N7" s="27"/>
      <c r="O7" s="27"/>
      <c r="P7" s="38">
        <f t="shared" si="1"/>
        <v>0.0075000000000000015</v>
      </c>
    </row>
    <row r="8" s="29" customFormat="1" ht="18.75" customHeight="1">
      <c r="A8" s="39"/>
      <c r="B8" s="40">
        <v>3</v>
      </c>
      <c r="C8" s="31" t="s">
        <v>23</v>
      </c>
      <c r="D8" s="32" t="s">
        <v>24</v>
      </c>
      <c r="E8" s="41">
        <v>4</v>
      </c>
      <c r="F8" s="42"/>
      <c r="G8" s="20" t="s">
        <v>20</v>
      </c>
      <c r="H8" s="42">
        <v>1.5</v>
      </c>
      <c r="I8" s="20">
        <v>0.10000000000000001</v>
      </c>
      <c r="J8" s="20">
        <v>0.10000000000000001</v>
      </c>
      <c r="K8" s="44">
        <f t="shared" si="0"/>
        <v>0.015000000000000003</v>
      </c>
      <c r="L8" s="26"/>
      <c r="M8" s="27"/>
      <c r="N8" s="27"/>
      <c r="O8" s="27"/>
      <c r="P8" s="38">
        <f t="shared" si="1"/>
        <v>0.060000000000000012</v>
      </c>
    </row>
    <row r="9" s="29" customFormat="1" ht="18.75" customHeight="1">
      <c r="A9" s="39"/>
      <c r="B9" s="40">
        <v>4</v>
      </c>
      <c r="C9" s="31" t="s">
        <v>25</v>
      </c>
      <c r="D9" s="32" t="s">
        <v>26</v>
      </c>
      <c r="E9" s="45">
        <v>1</v>
      </c>
      <c r="F9" s="46"/>
      <c r="G9" s="20" t="s">
        <v>20</v>
      </c>
      <c r="H9" s="42">
        <v>2.2000000000000002</v>
      </c>
      <c r="I9" s="20">
        <v>0.10000000000000001</v>
      </c>
      <c r="J9" s="20">
        <v>0.10000000000000001</v>
      </c>
      <c r="K9" s="44">
        <f t="shared" si="0"/>
        <v>0.022000000000000006</v>
      </c>
      <c r="L9" s="26"/>
      <c r="M9" s="27"/>
      <c r="N9" s="27"/>
      <c r="O9" s="27"/>
      <c r="P9" s="38">
        <f t="shared" si="1"/>
        <v>0.022000000000000006</v>
      </c>
    </row>
    <row r="10" s="29" customFormat="1" ht="18.75" customHeight="1">
      <c r="A10" s="39"/>
      <c r="B10" s="40">
        <v>5</v>
      </c>
      <c r="C10" s="31" t="s">
        <v>27</v>
      </c>
      <c r="D10" s="32" t="s">
        <v>28</v>
      </c>
      <c r="E10" s="20">
        <v>2</v>
      </c>
      <c r="F10" s="20"/>
      <c r="G10" s="20" t="s">
        <v>20</v>
      </c>
      <c r="H10" s="20">
        <v>0.92000000000000004</v>
      </c>
      <c r="I10" s="20">
        <v>0.10000000000000001</v>
      </c>
      <c r="J10" s="20">
        <v>0.10000000000000001</v>
      </c>
      <c r="K10" s="43">
        <f t="shared" si="0"/>
        <v>0.0092000000000000016</v>
      </c>
      <c r="L10" s="26"/>
      <c r="M10" s="27"/>
      <c r="N10" s="27"/>
      <c r="O10" s="27"/>
      <c r="P10" s="38">
        <f t="shared" si="1"/>
        <v>0.018400000000000003</v>
      </c>
    </row>
    <row r="11" s="29" customFormat="1" ht="22.5" customHeight="1">
      <c r="A11" s="39"/>
      <c r="B11" s="40">
        <v>6</v>
      </c>
      <c r="C11" s="47" t="s">
        <v>29</v>
      </c>
      <c r="D11" s="48" t="s">
        <v>30</v>
      </c>
      <c r="E11" s="47">
        <v>8</v>
      </c>
      <c r="F11" s="47"/>
      <c r="G11" s="49">
        <v>7047</v>
      </c>
      <c r="H11" s="47">
        <v>0.074999999999999997</v>
      </c>
      <c r="I11" s="47">
        <v>0.074999999999999997</v>
      </c>
      <c r="J11" s="47">
        <v>0.26000000000000001</v>
      </c>
      <c r="K11" s="50">
        <f>H11*I11*J11</f>
        <v>0.0014625</v>
      </c>
      <c r="L11" s="18">
        <v>3</v>
      </c>
      <c r="M11" s="20">
        <f t="shared" ref="M11:M33" si="2">L11*E11</f>
        <v>24</v>
      </c>
      <c r="N11" s="20"/>
      <c r="O11" s="20">
        <f t="shared" ref="O11:O33" si="3">N11*E11</f>
        <v>0</v>
      </c>
      <c r="P11" s="38">
        <f t="shared" si="1"/>
        <v>0.0117</v>
      </c>
    </row>
    <row r="12" ht="15">
      <c r="A12" s="22"/>
      <c r="B12" s="51" t="s">
        <v>31</v>
      </c>
      <c r="C12" s="52"/>
      <c r="D12" s="52"/>
      <c r="E12" s="52"/>
      <c r="F12" s="52"/>
      <c r="G12" s="52"/>
      <c r="H12" s="52"/>
      <c r="I12" s="52"/>
      <c r="J12" s="52"/>
      <c r="K12" s="53"/>
      <c r="L12" s="26"/>
      <c r="M12" s="20">
        <f t="shared" si="2"/>
        <v>0</v>
      </c>
      <c r="N12" s="27"/>
      <c r="O12" s="20">
        <f t="shared" si="3"/>
        <v>0</v>
      </c>
      <c r="P12" s="38">
        <f t="shared" si="1"/>
        <v>0</v>
      </c>
    </row>
    <row r="13" s="29" customFormat="1" ht="93.75" customHeight="1">
      <c r="A13" s="54" t="s">
        <v>32</v>
      </c>
      <c r="B13" s="55">
        <v>7</v>
      </c>
      <c r="C13" s="56" t="s">
        <v>33</v>
      </c>
      <c r="D13" s="57" t="s">
        <v>34</v>
      </c>
      <c r="E13" s="57">
        <v>2</v>
      </c>
      <c r="F13" s="57"/>
      <c r="G13" s="58">
        <v>5017</v>
      </c>
      <c r="H13" s="57">
        <v>1.5</v>
      </c>
      <c r="I13" s="57">
        <v>0.69999999999999996</v>
      </c>
      <c r="J13" s="57">
        <v>0.021000000000000001</v>
      </c>
      <c r="K13" s="59">
        <f t="shared" ref="K13:K33" si="4">H13*I13*J13</f>
        <v>0.022049999999999997</v>
      </c>
      <c r="L13" s="37">
        <v>4</v>
      </c>
      <c r="M13" s="20">
        <f t="shared" si="2"/>
        <v>8</v>
      </c>
      <c r="N13" s="38"/>
      <c r="O13" s="20">
        <f t="shared" si="3"/>
        <v>0</v>
      </c>
      <c r="P13" s="38">
        <f t="shared" si="1"/>
        <v>0.044099999999999993</v>
      </c>
    </row>
    <row r="14" s="29" customFormat="1" ht="63" customHeight="1">
      <c r="A14" s="54"/>
      <c r="B14" s="40">
        <v>8</v>
      </c>
      <c r="C14" s="56" t="s">
        <v>35</v>
      </c>
      <c r="D14" s="20" t="s">
        <v>36</v>
      </c>
      <c r="E14" s="20">
        <v>2</v>
      </c>
      <c r="F14" s="20"/>
      <c r="G14" s="60">
        <v>5017</v>
      </c>
      <c r="H14" s="20">
        <v>1.5</v>
      </c>
      <c r="I14" s="20">
        <v>0.29999999999999999</v>
      </c>
      <c r="J14" s="41">
        <v>0.021000000000000001</v>
      </c>
      <c r="K14" s="61">
        <f t="shared" si="4"/>
        <v>0.0094500000000000001</v>
      </c>
      <c r="L14" s="37">
        <v>4</v>
      </c>
      <c r="M14" s="20">
        <f t="shared" si="2"/>
        <v>8</v>
      </c>
      <c r="N14" s="38"/>
      <c r="O14" s="20">
        <f t="shared" si="3"/>
        <v>0</v>
      </c>
      <c r="P14" s="38">
        <f t="shared" si="1"/>
        <v>0.0189</v>
      </c>
    </row>
    <row r="15" s="29" customFormat="1" ht="63" customHeight="1">
      <c r="A15" s="54"/>
      <c r="B15" s="40">
        <v>9</v>
      </c>
      <c r="C15" s="56" t="s">
        <v>37</v>
      </c>
      <c r="D15" s="20" t="s">
        <v>38</v>
      </c>
      <c r="E15" s="20">
        <v>2</v>
      </c>
      <c r="F15" s="20"/>
      <c r="G15" s="60">
        <v>5017</v>
      </c>
      <c r="H15" s="20">
        <v>0.93500000000000005</v>
      </c>
      <c r="I15" s="20">
        <v>0.29999999999999999</v>
      </c>
      <c r="J15" s="41">
        <v>0.021000000000000001</v>
      </c>
      <c r="K15" s="61">
        <f t="shared" si="4"/>
        <v>0.0058905000000000008</v>
      </c>
      <c r="L15" s="37">
        <v>4</v>
      </c>
      <c r="M15" s="20">
        <f t="shared" si="2"/>
        <v>8</v>
      </c>
      <c r="N15" s="38"/>
      <c r="O15" s="20">
        <f t="shared" si="3"/>
        <v>0</v>
      </c>
      <c r="P15" s="38">
        <f t="shared" si="1"/>
        <v>0.011781000000000002</v>
      </c>
    </row>
    <row r="16" s="29" customFormat="1" ht="63" customHeight="1">
      <c r="A16" s="54"/>
      <c r="B16" s="40">
        <v>10</v>
      </c>
      <c r="C16" s="56" t="s">
        <v>39</v>
      </c>
      <c r="D16" s="20" t="s">
        <v>40</v>
      </c>
      <c r="E16" s="20">
        <v>1</v>
      </c>
      <c r="F16" s="20"/>
      <c r="G16" s="60">
        <v>5017</v>
      </c>
      <c r="H16" s="20">
        <v>2.1200000000000001</v>
      </c>
      <c r="I16" s="20">
        <v>0.29999999999999999</v>
      </c>
      <c r="J16" s="41">
        <v>0.021000000000000001</v>
      </c>
      <c r="K16" s="61">
        <f t="shared" si="4"/>
        <v>0.013356000000000002</v>
      </c>
      <c r="L16" s="37">
        <v>4</v>
      </c>
      <c r="M16" s="20">
        <f t="shared" si="2"/>
        <v>4</v>
      </c>
      <c r="N16" s="38"/>
      <c r="O16" s="20">
        <f t="shared" si="3"/>
        <v>0</v>
      </c>
      <c r="P16" s="38">
        <f t="shared" si="1"/>
        <v>0.013356000000000002</v>
      </c>
    </row>
    <row r="17" s="29" customFormat="1" ht="75" customHeight="1">
      <c r="A17" s="54"/>
      <c r="B17" s="40">
        <v>11</v>
      </c>
      <c r="C17" s="62" t="s">
        <v>41</v>
      </c>
      <c r="D17" s="20" t="s">
        <v>42</v>
      </c>
      <c r="E17" s="41">
        <v>2</v>
      </c>
      <c r="F17" s="63"/>
      <c r="G17" s="64">
        <v>2008</v>
      </c>
      <c r="H17" s="41">
        <v>0.80000000000000004</v>
      </c>
      <c r="I17" s="41">
        <v>0.69999999999999996</v>
      </c>
      <c r="J17" s="41">
        <v>0.021000000000000001</v>
      </c>
      <c r="K17" s="65">
        <f t="shared" si="4"/>
        <v>0.01176</v>
      </c>
      <c r="L17" s="66"/>
      <c r="M17" s="20">
        <f t="shared" si="2"/>
        <v>0</v>
      </c>
      <c r="N17" s="67"/>
      <c r="O17" s="20">
        <f t="shared" si="3"/>
        <v>0</v>
      </c>
      <c r="P17" s="38">
        <f t="shared" si="1"/>
        <v>0.023519999999999999</v>
      </c>
    </row>
    <row r="18" s="29" customFormat="1" ht="61.5" customHeight="1">
      <c r="A18" s="54"/>
      <c r="B18" s="40">
        <v>12</v>
      </c>
      <c r="C18" s="62" t="s">
        <v>43</v>
      </c>
      <c r="D18" s="20" t="s">
        <v>44</v>
      </c>
      <c r="E18" s="41">
        <v>4</v>
      </c>
      <c r="F18" s="63"/>
      <c r="G18" s="68">
        <v>7047</v>
      </c>
      <c r="H18" s="41">
        <v>0.55000000000000004</v>
      </c>
      <c r="I18" s="41">
        <v>0.10000000000000001</v>
      </c>
      <c r="J18" s="41">
        <v>0.014999999999999999</v>
      </c>
      <c r="K18" s="65">
        <f t="shared" si="4"/>
        <v>0.0008250000000000001</v>
      </c>
      <c r="L18" s="66"/>
      <c r="M18" s="20">
        <f t="shared" si="2"/>
        <v>0</v>
      </c>
      <c r="N18" s="67">
        <v>3</v>
      </c>
      <c r="O18" s="20">
        <f t="shared" si="3"/>
        <v>12</v>
      </c>
      <c r="P18" s="38">
        <f t="shared" si="1"/>
        <v>0.0033000000000000004</v>
      </c>
    </row>
    <row r="19" s="29" customFormat="1" ht="75.75" customHeight="1">
      <c r="A19" s="54"/>
      <c r="B19" s="40">
        <v>13</v>
      </c>
      <c r="C19" s="62" t="s">
        <v>45</v>
      </c>
      <c r="D19" s="20" t="s">
        <v>46</v>
      </c>
      <c r="E19" s="20">
        <v>2</v>
      </c>
      <c r="F19" s="20"/>
      <c r="G19" s="69">
        <v>7047</v>
      </c>
      <c r="H19" s="20">
        <v>1.0640000000000001</v>
      </c>
      <c r="I19" s="20">
        <v>0.63400000000000001</v>
      </c>
      <c r="J19" s="20">
        <v>0.021000000000000001</v>
      </c>
      <c r="K19" s="61">
        <f t="shared" si="4"/>
        <v>0.014166096000000003</v>
      </c>
      <c r="L19" s="37">
        <v>3</v>
      </c>
      <c r="M19" s="20">
        <f t="shared" si="2"/>
        <v>6</v>
      </c>
      <c r="N19" s="38"/>
      <c r="O19" s="20">
        <f t="shared" si="3"/>
        <v>0</v>
      </c>
      <c r="P19" s="38">
        <f t="shared" si="1"/>
        <v>0.028332192000000006</v>
      </c>
    </row>
    <row r="20" s="29" customFormat="1" ht="105.75" customHeight="1">
      <c r="A20" s="54"/>
      <c r="B20" s="40">
        <v>14</v>
      </c>
      <c r="C20" s="62" t="s">
        <v>47</v>
      </c>
      <c r="D20" s="20" t="s">
        <v>48</v>
      </c>
      <c r="E20" s="20">
        <v>2</v>
      </c>
      <c r="F20" s="20"/>
      <c r="G20" s="70">
        <v>6018</v>
      </c>
      <c r="H20" s="20">
        <v>1.1000000000000001</v>
      </c>
      <c r="I20" s="20">
        <v>1.339</v>
      </c>
      <c r="J20" s="20">
        <v>0.014999999999999999</v>
      </c>
      <c r="K20" s="61">
        <f t="shared" si="4"/>
        <v>0.022093500000000002</v>
      </c>
      <c r="L20" s="66"/>
      <c r="M20" s="20">
        <f t="shared" si="2"/>
        <v>0</v>
      </c>
      <c r="N20" s="67"/>
      <c r="O20" s="20">
        <f t="shared" si="3"/>
        <v>0</v>
      </c>
      <c r="P20" s="38">
        <f t="shared" si="1"/>
        <v>0.044187000000000004</v>
      </c>
    </row>
    <row r="21" s="29" customFormat="1" ht="104.25" customHeight="1">
      <c r="A21" s="54"/>
      <c r="B21" s="40">
        <v>15</v>
      </c>
      <c r="C21" s="62" t="s">
        <v>49</v>
      </c>
      <c r="D21" s="20" t="s">
        <v>50</v>
      </c>
      <c r="E21" s="20">
        <v>1</v>
      </c>
      <c r="F21" s="20"/>
      <c r="G21" s="60">
        <v>5017</v>
      </c>
      <c r="H21" s="20">
        <v>1.131</v>
      </c>
      <c r="I21" s="20">
        <v>0.56899999999999995</v>
      </c>
      <c r="J21" s="20">
        <v>0.012</v>
      </c>
      <c r="K21" s="61">
        <f t="shared" si="4"/>
        <v>0.0077224679999999997</v>
      </c>
      <c r="L21" s="37">
        <v>0</v>
      </c>
      <c r="M21" s="20">
        <f t="shared" si="2"/>
        <v>0</v>
      </c>
      <c r="N21" s="38">
        <v>14</v>
      </c>
      <c r="O21" s="20">
        <f t="shared" si="3"/>
        <v>14</v>
      </c>
      <c r="P21" s="38">
        <f t="shared" si="1"/>
        <v>0.0077224679999999997</v>
      </c>
      <c r="Q21" s="71"/>
      <c r="R21" s="71"/>
      <c r="S21" s="71"/>
      <c r="T21" s="71"/>
    </row>
    <row r="22" s="29" customFormat="1" ht="100.5" customHeight="1">
      <c r="A22" s="54"/>
      <c r="B22" s="40">
        <v>16</v>
      </c>
      <c r="C22" s="62" t="s">
        <v>51</v>
      </c>
      <c r="D22" s="20" t="s">
        <v>52</v>
      </c>
      <c r="E22" s="20">
        <v>1</v>
      </c>
      <c r="F22" s="20"/>
      <c r="G22" s="70">
        <v>6018</v>
      </c>
      <c r="H22" s="20">
        <v>0.65000000000000002</v>
      </c>
      <c r="I22" s="20">
        <v>0.32500000000000001</v>
      </c>
      <c r="J22" s="20">
        <v>0.021000000000000001</v>
      </c>
      <c r="K22" s="61">
        <f t="shared" si="4"/>
        <v>0.004436250000000001</v>
      </c>
      <c r="L22" s="37">
        <v>4</v>
      </c>
      <c r="M22" s="20">
        <f t="shared" si="2"/>
        <v>4</v>
      </c>
      <c r="N22" s="38"/>
      <c r="O22" s="20">
        <f t="shared" si="3"/>
        <v>0</v>
      </c>
      <c r="P22" s="38">
        <f t="shared" si="1"/>
        <v>0.004436250000000001</v>
      </c>
    </row>
    <row r="23" s="29" customFormat="1" ht="66" customHeight="1">
      <c r="A23" s="54"/>
      <c r="B23" s="40">
        <v>17</v>
      </c>
      <c r="C23" s="62" t="s">
        <v>53</v>
      </c>
      <c r="D23" s="20" t="s">
        <v>54</v>
      </c>
      <c r="E23" s="20">
        <v>2</v>
      </c>
      <c r="F23" s="20"/>
      <c r="G23" s="70">
        <v>6018</v>
      </c>
      <c r="H23" s="20">
        <v>0.65000000000000002</v>
      </c>
      <c r="I23" s="20">
        <v>0.29999999999999999</v>
      </c>
      <c r="J23" s="20">
        <v>0.021000000000000001</v>
      </c>
      <c r="K23" s="61">
        <f t="shared" si="4"/>
        <v>0.0040950000000000005</v>
      </c>
      <c r="L23" s="37"/>
      <c r="M23" s="20">
        <f t="shared" si="2"/>
        <v>0</v>
      </c>
      <c r="N23" s="38"/>
      <c r="O23" s="20">
        <f t="shared" si="3"/>
        <v>0</v>
      </c>
      <c r="P23" s="38">
        <f t="shared" si="1"/>
        <v>0.0081900000000000011</v>
      </c>
    </row>
    <row r="24" s="29" customFormat="1" ht="70.5" customHeight="1">
      <c r="A24" s="54"/>
      <c r="B24" s="40">
        <v>18</v>
      </c>
      <c r="C24" s="62" t="s">
        <v>55</v>
      </c>
      <c r="D24" s="41" t="s">
        <v>56</v>
      </c>
      <c r="E24" s="41">
        <v>1</v>
      </c>
      <c r="F24" s="63"/>
      <c r="G24" s="72">
        <v>3020</v>
      </c>
      <c r="H24" s="41">
        <v>0.34399999999999997</v>
      </c>
      <c r="I24" s="41">
        <v>0.187</v>
      </c>
      <c r="J24" s="41">
        <v>0.014999999999999999</v>
      </c>
      <c r="K24" s="73">
        <f t="shared" si="4"/>
        <v>0.00096491999999999986</v>
      </c>
      <c r="L24" s="37">
        <v>2</v>
      </c>
      <c r="M24" s="20">
        <f t="shared" si="2"/>
        <v>2</v>
      </c>
      <c r="N24" s="38"/>
      <c r="O24" s="20">
        <f t="shared" si="3"/>
        <v>0</v>
      </c>
      <c r="P24" s="38">
        <f t="shared" si="1"/>
        <v>0.00096491999999999986</v>
      </c>
    </row>
    <row r="25" s="29" customFormat="1" ht="87.75" customHeight="1">
      <c r="A25" s="54"/>
      <c r="B25" s="40">
        <v>19</v>
      </c>
      <c r="C25" s="62" t="s">
        <v>57</v>
      </c>
      <c r="D25" s="20" t="s">
        <v>58</v>
      </c>
      <c r="E25" s="41">
        <v>1</v>
      </c>
      <c r="F25" s="41"/>
      <c r="G25" s="74">
        <v>2008</v>
      </c>
      <c r="H25" s="41">
        <v>0.34999999999999998</v>
      </c>
      <c r="I25" s="41">
        <v>0.34999999999999998</v>
      </c>
      <c r="J25" s="41">
        <v>0.021000000000000001</v>
      </c>
      <c r="K25" s="75">
        <f t="shared" si="4"/>
        <v>0.0025724999999999997</v>
      </c>
      <c r="L25" s="37"/>
      <c r="M25" s="20">
        <f t="shared" si="2"/>
        <v>0</v>
      </c>
      <c r="N25" s="38"/>
      <c r="O25" s="20">
        <f t="shared" si="3"/>
        <v>0</v>
      </c>
      <c r="P25" s="38">
        <f t="shared" si="1"/>
        <v>0.0025724999999999997</v>
      </c>
    </row>
    <row r="26" s="29" customFormat="1" ht="76.5" customHeight="1">
      <c r="A26" s="54"/>
      <c r="B26" s="40">
        <v>20</v>
      </c>
      <c r="C26" s="62" t="s">
        <v>59</v>
      </c>
      <c r="D26" s="20" t="s">
        <v>60</v>
      </c>
      <c r="E26" s="20">
        <v>2</v>
      </c>
      <c r="F26" s="38"/>
      <c r="G26" s="76">
        <v>6018</v>
      </c>
      <c r="H26" s="38">
        <v>0.34799999999999998</v>
      </c>
      <c r="I26" s="38">
        <v>0.34799999999999998</v>
      </c>
      <c r="J26" s="38">
        <v>0.021000000000000001</v>
      </c>
      <c r="K26" s="61">
        <f t="shared" si="4"/>
        <v>0.002543184</v>
      </c>
      <c r="L26" s="66">
        <v>4</v>
      </c>
      <c r="M26" s="20">
        <f t="shared" si="2"/>
        <v>8</v>
      </c>
      <c r="N26" s="67"/>
      <c r="O26" s="20">
        <f t="shared" si="3"/>
        <v>0</v>
      </c>
      <c r="P26" s="38">
        <f t="shared" si="1"/>
        <v>0.005086368</v>
      </c>
    </row>
    <row r="27" s="29" customFormat="1" ht="98.25" customHeight="1">
      <c r="A27" s="54"/>
      <c r="B27" s="40">
        <v>21</v>
      </c>
      <c r="C27" s="62" t="s">
        <v>61</v>
      </c>
      <c r="D27" s="20" t="s">
        <v>62</v>
      </c>
      <c r="E27" s="20">
        <v>1</v>
      </c>
      <c r="G27" s="76">
        <v>6018</v>
      </c>
      <c r="H27" s="38">
        <v>0.48499999999999999</v>
      </c>
      <c r="I27" s="38">
        <v>0.34799999999999998</v>
      </c>
      <c r="J27" s="38">
        <v>0.021000000000000001</v>
      </c>
      <c r="K27" s="61">
        <f t="shared" si="4"/>
        <v>0.0035443799999999998</v>
      </c>
      <c r="L27" s="66">
        <v>5</v>
      </c>
      <c r="M27" s="20">
        <f t="shared" si="2"/>
        <v>5</v>
      </c>
      <c r="N27" s="63"/>
      <c r="O27" s="20">
        <f t="shared" si="3"/>
        <v>0</v>
      </c>
      <c r="P27" s="38">
        <f t="shared" si="1"/>
        <v>0.0035443799999999998</v>
      </c>
    </row>
    <row r="28" s="29" customFormat="1" ht="87.75" customHeight="1">
      <c r="A28" s="54"/>
      <c r="B28" s="40">
        <v>22</v>
      </c>
      <c r="C28" s="62" t="s">
        <v>63</v>
      </c>
      <c r="D28" s="77" t="s">
        <v>64</v>
      </c>
      <c r="E28" s="41">
        <v>4</v>
      </c>
      <c r="F28" s="41"/>
      <c r="G28" s="78">
        <v>7047</v>
      </c>
      <c r="H28" s="42">
        <v>0.22</v>
      </c>
      <c r="I28" s="42">
        <v>0.13</v>
      </c>
      <c r="J28" s="42">
        <v>0.014999999999999999</v>
      </c>
      <c r="K28" s="79">
        <f t="shared" si="4"/>
        <v>0.00042899999999999997</v>
      </c>
      <c r="L28" s="66"/>
      <c r="M28" s="20">
        <f t="shared" si="2"/>
        <v>0</v>
      </c>
      <c r="N28" s="63"/>
      <c r="O28" s="20">
        <f t="shared" si="3"/>
        <v>0</v>
      </c>
      <c r="P28" s="38">
        <f t="shared" si="1"/>
        <v>0.0017159999999999999</v>
      </c>
    </row>
    <row r="29" s="29" customFormat="1" ht="27.75" customHeight="1">
      <c r="A29" s="80"/>
      <c r="B29" s="81">
        <v>23</v>
      </c>
      <c r="C29" s="47" t="s">
        <v>65</v>
      </c>
      <c r="D29" s="48" t="s">
        <v>66</v>
      </c>
      <c r="E29" s="47">
        <v>38</v>
      </c>
      <c r="F29" s="47"/>
      <c r="G29" s="49">
        <v>7047</v>
      </c>
      <c r="H29" s="47"/>
      <c r="I29" s="47"/>
      <c r="J29" s="47"/>
      <c r="K29" s="50"/>
      <c r="L29" s="18"/>
      <c r="M29" s="20">
        <f t="shared" si="2"/>
        <v>0</v>
      </c>
      <c r="N29" s="20">
        <v>2</v>
      </c>
      <c r="O29" s="20">
        <f t="shared" si="3"/>
        <v>76</v>
      </c>
      <c r="P29" s="38">
        <f t="shared" si="1"/>
        <v>0</v>
      </c>
    </row>
    <row r="30" s="29" customFormat="1" ht="25.5" customHeight="1">
      <c r="A30" s="82"/>
      <c r="B30" s="83" t="s">
        <v>67</v>
      </c>
      <c r="C30" s="84"/>
      <c r="D30" s="84"/>
      <c r="E30" s="84"/>
      <c r="F30" s="84"/>
      <c r="G30" s="84"/>
      <c r="H30" s="84"/>
      <c r="I30" s="84"/>
      <c r="J30" s="84"/>
      <c r="K30" s="85"/>
      <c r="L30" s="18"/>
      <c r="M30" s="20">
        <f t="shared" si="2"/>
        <v>0</v>
      </c>
      <c r="N30" s="20"/>
      <c r="O30" s="20">
        <f t="shared" si="3"/>
        <v>0</v>
      </c>
      <c r="P30" s="38">
        <f t="shared" si="1"/>
        <v>0</v>
      </c>
    </row>
    <row r="31" ht="58.5" customHeight="1">
      <c r="A31" s="86"/>
      <c r="B31" s="55">
        <v>24</v>
      </c>
      <c r="C31" s="57" t="s">
        <v>68</v>
      </c>
      <c r="D31" s="87" t="s">
        <v>69</v>
      </c>
      <c r="E31" s="88">
        <v>102</v>
      </c>
      <c r="F31" s="89"/>
      <c r="G31" s="90" t="s">
        <v>70</v>
      </c>
      <c r="H31" s="90">
        <v>0.027</v>
      </c>
      <c r="I31" s="90">
        <v>0.027</v>
      </c>
      <c r="J31" s="90">
        <v>0.016</v>
      </c>
      <c r="K31" s="91">
        <f t="shared" si="4"/>
        <v>1.1663999999999999e-05</v>
      </c>
      <c r="L31" s="26"/>
      <c r="M31" s="20">
        <f t="shared" si="2"/>
        <v>0</v>
      </c>
      <c r="N31" s="27"/>
      <c r="O31" s="20">
        <f t="shared" si="3"/>
        <v>0</v>
      </c>
      <c r="P31" s="38">
        <f t="shared" si="1"/>
        <v>0.0011897279999999999</v>
      </c>
    </row>
    <row r="32" ht="73.5" customHeight="1">
      <c r="A32" s="92"/>
      <c r="B32" s="40">
        <v>25</v>
      </c>
      <c r="C32" s="20" t="s">
        <v>71</v>
      </c>
      <c r="D32" s="32" t="s">
        <v>72</v>
      </c>
      <c r="E32" s="93">
        <v>77</v>
      </c>
      <c r="F32" s="94"/>
      <c r="G32" s="95" t="s">
        <v>70</v>
      </c>
      <c r="H32" s="95">
        <v>0.035999999999999997</v>
      </c>
      <c r="I32" s="95">
        <v>0.035999999999999997</v>
      </c>
      <c r="J32" s="95">
        <v>0.023</v>
      </c>
      <c r="K32" s="96">
        <f t="shared" si="4"/>
        <v>2.9807999999999996e-05</v>
      </c>
      <c r="L32" s="26"/>
      <c r="M32" s="20">
        <f t="shared" si="2"/>
        <v>0</v>
      </c>
      <c r="N32" s="27"/>
      <c r="O32" s="20">
        <f t="shared" si="3"/>
        <v>0</v>
      </c>
      <c r="P32" s="38">
        <f t="shared" si="1"/>
        <v>0.0022952159999999997</v>
      </c>
    </row>
    <row r="33" ht="66.75" customHeight="1">
      <c r="A33" s="97"/>
      <c r="B33" s="81">
        <v>26</v>
      </c>
      <c r="C33" s="98" t="s">
        <v>73</v>
      </c>
      <c r="D33" s="99" t="s">
        <v>74</v>
      </c>
      <c r="E33" s="100">
        <v>4</v>
      </c>
      <c r="F33" s="101"/>
      <c r="G33" s="102" t="s">
        <v>70</v>
      </c>
      <c r="H33" s="102">
        <v>0.10000000000000001</v>
      </c>
      <c r="I33" s="102">
        <v>0.10000000000000001</v>
      </c>
      <c r="J33" s="102">
        <v>0.043999999999999997</v>
      </c>
      <c r="K33" s="103">
        <f t="shared" si="4"/>
        <v>0.00044000000000000007</v>
      </c>
      <c r="L33" s="104"/>
      <c r="M33" s="20">
        <f t="shared" si="2"/>
        <v>0</v>
      </c>
      <c r="N33" s="28"/>
      <c r="O33" s="20">
        <f t="shared" si="3"/>
        <v>0</v>
      </c>
      <c r="P33" s="38">
        <f t="shared" si="1"/>
        <v>0.0017600000000000003</v>
      </c>
    </row>
    <row r="34">
      <c r="M34">
        <f>SUM(M7:M33)</f>
        <v>77</v>
      </c>
      <c r="O34">
        <f>SUM(O11:O33)</f>
        <v>102</v>
      </c>
      <c r="P34">
        <f>SUM(P6:P33)</f>
        <v>0.35355402199999991</v>
      </c>
    </row>
  </sheetData>
  <mergeCells count="7">
    <mergeCell ref="A1:K1"/>
    <mergeCell ref="B2:K2"/>
    <mergeCell ref="B3:K3"/>
    <mergeCell ref="B5:K5"/>
    <mergeCell ref="B12:K12"/>
    <mergeCell ref="A13:A27"/>
    <mergeCell ref="B30:K30"/>
  </mergeCells>
  <printOptions headings="0" gridLines="0"/>
  <pageMargins left="0.25" right="0.25" top="0.75" bottom="0.75" header="0.29999999999999999" footer="0.29999999999999999"/>
  <pageSetup paperSize="9" scale="48" fitToWidth="1" fitToHeight="0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Company>Reanimator Extreme Edition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Офис ПК Модуль (СР)</cp:lastModifiedBy>
  <cp:revision>2</cp:revision>
  <dcterms:created xsi:type="dcterms:W3CDTF">2017-04-27T07:18:00Z</dcterms:created>
  <dcterms:modified xsi:type="dcterms:W3CDTF">2025-05-13T07:20:52Z</dcterms:modified>
</cp:coreProperties>
</file>