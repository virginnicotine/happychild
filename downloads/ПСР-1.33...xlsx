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R:\100.Старый сервер (Калуга)\!!!СПЕЦИФИКАЦИИ ВСЕ!!!\"/>
    </mc:Choice>
  </mc:AlternateContent>
  <xr:revisionPtr revIDLastSave="0" documentId="13_ncr:1_{8CEDC098-3E3E-4E12-BB6B-C0FE473F13D7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Лист1" sheetId="1" r:id="rId1"/>
    <sheet name="Лист2" sheetId="2" r:id="rId2"/>
    <sheet name="Лист3" sheetId="3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5" i="1" l="1"/>
  <c r="K8" i="1"/>
  <c r="Q13" i="1" l="1"/>
  <c r="Q14" i="1"/>
  <c r="Q15" i="1"/>
  <c r="Q25" i="1"/>
  <c r="Q33" i="1"/>
  <c r="Q34" i="1"/>
  <c r="Q38" i="1"/>
  <c r="Q39" i="1"/>
  <c r="Q40" i="1"/>
  <c r="Q41" i="1"/>
  <c r="K10" i="1" l="1"/>
  <c r="L10" i="1" s="1"/>
  <c r="L13" i="1"/>
  <c r="L25" i="1"/>
  <c r="L33" i="1"/>
  <c r="L38" i="1"/>
  <c r="L40" i="1"/>
  <c r="L41" i="1"/>
  <c r="O13" i="1"/>
  <c r="O14" i="1"/>
  <c r="O15" i="1"/>
  <c r="O25" i="1"/>
  <c r="O33" i="1"/>
  <c r="O34" i="1"/>
  <c r="O38" i="1"/>
  <c r="O39" i="1"/>
  <c r="O40" i="1"/>
  <c r="O41" i="1"/>
  <c r="K34" i="1"/>
  <c r="L34" i="1" s="1"/>
  <c r="K9" i="1"/>
  <c r="L9" i="1" s="1"/>
  <c r="K7" i="1"/>
  <c r="K39" i="1"/>
  <c r="L39" i="1" s="1"/>
  <c r="L15" i="1"/>
  <c r="L14" i="1"/>
  <c r="L7" i="1" l="1"/>
  <c r="Q10" i="1" l="1"/>
  <c r="Q42" i="1" s="1"/>
  <c r="O10" i="1"/>
  <c r="O42" i="1" s="1"/>
  <c r="L42" i="1" l="1"/>
</calcChain>
</file>

<file path=xl/sharedStrings.xml><?xml version="1.0" encoding="utf-8"?>
<sst xmlns="http://schemas.openxmlformats.org/spreadsheetml/2006/main" count="92" uniqueCount="85">
  <si>
    <t>№ п/п</t>
  </si>
  <si>
    <t>Наименование</t>
  </si>
  <si>
    <t>Артикул</t>
  </si>
  <si>
    <t>Изображение</t>
  </si>
  <si>
    <t>цвет</t>
  </si>
  <si>
    <t>Длина, м</t>
  </si>
  <si>
    <t>Ширина, м</t>
  </si>
  <si>
    <t>Высота, м</t>
  </si>
  <si>
    <t>Объем, м3</t>
  </si>
  <si>
    <t>Кол-во</t>
  </si>
  <si>
    <t>СТОЛБЫ</t>
  </si>
  <si>
    <t>МЕТАЛЛ</t>
  </si>
  <si>
    <t>ПАНЕЛИ</t>
  </si>
  <si>
    <t>Заглушка м8-10 (крепеж к столбу) (на 1 комплектующую)</t>
  </si>
  <si>
    <t>всего м8-10</t>
  </si>
  <si>
    <t>Заглушка м6 (крепеж фанеры между собой)</t>
  </si>
  <si>
    <t>всего м6</t>
  </si>
  <si>
    <t>Объем всего</t>
  </si>
  <si>
    <t>ЭЛЕМЕНТЫ ДОМИКОВ  1.08</t>
  </si>
  <si>
    <t>Черный</t>
  </si>
  <si>
    <t>ПЛАСТИК</t>
  </si>
  <si>
    <t>Заглушка К4М6КС</t>
  </si>
  <si>
    <t>Заглушка К4М8КС</t>
  </si>
  <si>
    <t>Заглушка 100-100.11КК</t>
  </si>
  <si>
    <t>Метизы крепления на 1 комплектующую</t>
  </si>
  <si>
    <t xml:space="preserve">Шуруп (глухарь) 8х50 - 4 шт.                         Шайба м8 увел. - 4шт.                         </t>
  </si>
  <si>
    <t xml:space="preserve">Шуруп (глухарь) 8х80 - 4 шт.                         Шайба м8 увел. - 4 шт.                         </t>
  </si>
  <si>
    <t xml:space="preserve">Шуруп (глухарь) 8х80 - 6 шт.                         Шайба м8 увел. - 6 шт.                         </t>
  </si>
  <si>
    <t xml:space="preserve">Болт мебельный М6х50 - 18 шт.                               Шайба м8 увел. - 18 шт.                    Гайка м6 - 18 шт        </t>
  </si>
  <si>
    <t>Закладная для столба 100х100</t>
  </si>
  <si>
    <t>0013МП</t>
  </si>
  <si>
    <t>КЧМ6КС</t>
  </si>
  <si>
    <t>КЧМ8КС</t>
  </si>
  <si>
    <t>100-100.11КК</t>
  </si>
  <si>
    <t>Столб (брус 100х100) 1000 мм</t>
  </si>
  <si>
    <t>0004ДБ</t>
  </si>
  <si>
    <t xml:space="preserve">Бревно Изба -1.31
182 x 180 x 15 </t>
  </si>
  <si>
    <t>ПСР-1.33</t>
  </si>
  <si>
    <t>Размер 2,8*3,55*2,55</t>
  </si>
  <si>
    <t>Столб (брус 100х100) 300 мм</t>
  </si>
  <si>
    <t>Столб (брус 100х100) 2000 мм</t>
  </si>
  <si>
    <t>ПЛОЩАДКИ</t>
  </si>
  <si>
    <t>0008СБ</t>
  </si>
  <si>
    <t>Площадка 1160х1160 (СБ)</t>
  </si>
  <si>
    <t>0038ДБ</t>
  </si>
  <si>
    <t>0005ДБ</t>
  </si>
  <si>
    <t xml:space="preserve">Борт длинный песочницы -1.33
2360 x 300 x 21 </t>
  </si>
  <si>
    <t xml:space="preserve">Борт с цветами песочницы -1.33
2280 x 710 x 21 </t>
  </si>
  <si>
    <t xml:space="preserve">Борт короткий песочницы -1.33
2280 x 300 x 21  </t>
  </si>
  <si>
    <t xml:space="preserve">Панель Заборчик песочницы -1.33
1160 x 752 x 21  </t>
  </si>
  <si>
    <t xml:space="preserve">Цветок песочницы -1.33
232 x 227 x 15  </t>
  </si>
  <si>
    <t>001249</t>
  </si>
  <si>
    <t>001250</t>
  </si>
  <si>
    <t>001251</t>
  </si>
  <si>
    <t>001252</t>
  </si>
  <si>
    <t>001253</t>
  </si>
  <si>
    <t>Сидушка круг песочницы -1.33
300 x 300 x 21</t>
  </si>
  <si>
    <t>001254</t>
  </si>
  <si>
    <t>Горка 600</t>
  </si>
  <si>
    <t>0002СБ</t>
  </si>
  <si>
    <t>Горка 600 (с ограждением) (СБ)</t>
  </si>
  <si>
    <t>7015 / 2008</t>
  </si>
  <si>
    <t>КРЫША ДВУХСКАТНАЯ 1160х1160</t>
  </si>
  <si>
    <t>Фронтон целый (крыша 1160)
1262 x 572 x 21</t>
  </si>
  <si>
    <t xml:space="preserve">Накладка фронтона (крыша 1160)
562 x 396 x 15  </t>
  </si>
  <si>
    <t xml:space="preserve">Скат (крыша 1160)
1350 x 900 x 15 </t>
  </si>
  <si>
    <t>000035</t>
  </si>
  <si>
    <t>000037</t>
  </si>
  <si>
    <t>001558</t>
  </si>
  <si>
    <t>ЛЕСТНИЦА 600</t>
  </si>
  <si>
    <t>нескользяшка</t>
  </si>
  <si>
    <t xml:space="preserve">Ступень 960х150
960 x 150 x 18 </t>
  </si>
  <si>
    <t xml:space="preserve">Тетива лестницы 600
903 x 262 x 21 </t>
  </si>
  <si>
    <t>000369</t>
  </si>
  <si>
    <t>000208</t>
  </si>
  <si>
    <t>доска 35х90х948</t>
  </si>
  <si>
    <t xml:space="preserve">Перила лестницы 600
827 x 150 x 21 </t>
  </si>
  <si>
    <t>000209</t>
  </si>
  <si>
    <t>Перемычка 180</t>
  </si>
  <si>
    <t>0216МП</t>
  </si>
  <si>
    <t>Перемычка 960</t>
  </si>
  <si>
    <t>Уголок 55х55х40</t>
  </si>
  <si>
    <t>0003МП</t>
  </si>
  <si>
    <t>0084МП</t>
  </si>
  <si>
    <t>Поручень горки дуга (570mm)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</si>
</sst>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₽_-;\-* #,##0.00\ _₽_-;_-* &quot;-&quot;??\ _₽_-;_-@_-"/>
    <numFmt numFmtId="165" formatCode="0.000"/>
    <numFmt numFmtId="166" formatCode="0.0000"/>
    <numFmt numFmtId="167" formatCode="0.00000"/>
  </numFmts>
  <fonts count="20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i/>
      <sz val="10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Arial"/>
      <family val="2"/>
      <charset val="204"/>
    </font>
    <font>
      <b/>
      <i/>
      <sz val="11"/>
      <color theme="1"/>
      <name val="Arial"/>
      <family val="2"/>
      <charset val="204"/>
    </font>
    <font>
      <i/>
      <sz val="12"/>
      <color theme="1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6"/>
      <color theme="1"/>
      <name val="Arial"/>
      <family val="2"/>
      <charset val="204"/>
    </font>
    <font>
      <b/>
      <i/>
      <sz val="12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i/>
      <sz val="12"/>
      <name val="Arial"/>
      <family val="2"/>
      <charset val="204"/>
    </font>
    <font>
      <sz val="10"/>
      <color theme="1"/>
      <name val="Calibri"/>
      <family val="2"/>
      <charset val="204"/>
      <scheme val="minor"/>
    </font>
    <font>
      <i/>
      <sz val="9"/>
      <color theme="1"/>
      <name val="Arial"/>
      <family val="2"/>
      <charset val="204"/>
    </font>
    <font>
      <i/>
      <sz val="1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i/>
      <sz val="12"/>
      <color theme="0"/>
      <name val="Arial"/>
      <family val="2"/>
      <charset val="204"/>
    </font>
    <font>
      <sz val="12"/>
      <color theme="1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6633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9" fillId="0" borderId="0" applyFont="0" applyFill="0" applyBorder="0" applyAlignment="0" applyProtection="0"/>
  </cellStyleXfs>
  <cellXfs count="13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indent="1"/>
    </xf>
    <xf numFmtId="165" fontId="0" fillId="0" borderId="0" xfId="0" applyNumberFormat="1"/>
    <xf numFmtId="0" fontId="0" fillId="0" borderId="0" xfId="0" applyAlignment="1">
      <alignment horizontal="center" vertical="center"/>
    </xf>
    <xf numFmtId="0" fontId="4" fillId="0" borderId="13" xfId="0" applyFont="1" applyBorder="1"/>
    <xf numFmtId="0" fontId="11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66" fontId="0" fillId="0" borderId="0" xfId="1" applyNumberFormat="1" applyFont="1" applyAlignment="1"/>
    <xf numFmtId="0" fontId="4" fillId="0" borderId="14" xfId="0" applyFont="1" applyBorder="1"/>
    <xf numFmtId="0" fontId="5" fillId="0" borderId="15" xfId="0" applyFont="1" applyBorder="1" applyAlignment="1">
      <alignment horizontal="center" vertical="center" textRotation="90" wrapText="1"/>
    </xf>
    <xf numFmtId="0" fontId="4" fillId="0" borderId="12" xfId="0" applyFont="1" applyBorder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 textRotation="90" wrapTex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3" borderId="12" xfId="0" applyFont="1" applyFill="1" applyBorder="1" applyAlignment="1">
      <alignment horizontal="center" vertical="center" textRotation="90" wrapText="1"/>
    </xf>
    <xf numFmtId="0" fontId="4" fillId="0" borderId="25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 wrapText="1"/>
    </xf>
    <xf numFmtId="165" fontId="6" fillId="0" borderId="18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67" fontId="6" fillId="0" borderId="18" xfId="1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7" fontId="6" fillId="0" borderId="7" xfId="1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0" xfId="0" applyFont="1" applyBorder="1" applyAlignment="1">
      <alignment horizontal="left" vertical="center" wrapText="1" indent="1"/>
    </xf>
    <xf numFmtId="0" fontId="6" fillId="0" borderId="20" xfId="0" applyFont="1" applyBorder="1" applyAlignment="1">
      <alignment horizontal="center" vertical="center" wrapText="1"/>
    </xf>
    <xf numFmtId="166" fontId="6" fillId="0" borderId="21" xfId="1" applyNumberFormat="1" applyFont="1" applyBorder="1" applyAlignment="1">
      <alignment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0" xfId="0" applyFont="1" applyBorder="1" applyAlignment="1">
      <alignment vertical="center"/>
    </xf>
    <xf numFmtId="0" fontId="6" fillId="0" borderId="30" xfId="0" applyFont="1" applyBorder="1" applyAlignment="1">
      <alignment horizontal="center" vertical="center"/>
    </xf>
    <xf numFmtId="167" fontId="6" fillId="0" borderId="27" xfId="1" applyNumberFormat="1" applyFont="1" applyBorder="1" applyAlignment="1">
      <alignment horizontal="center" vertical="center"/>
    </xf>
    <xf numFmtId="165" fontId="6" fillId="0" borderId="29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/>
    <xf numFmtId="0" fontId="4" fillId="0" borderId="1" xfId="0" applyFont="1" applyBorder="1"/>
    <xf numFmtId="165" fontId="1" fillId="0" borderId="1" xfId="0" applyNumberFormat="1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165" fontId="15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65" fontId="16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/>
    <xf numFmtId="165" fontId="1" fillId="0" borderId="2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166" fontId="6" fillId="0" borderId="1" xfId="0" applyNumberFormat="1" applyFont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3" fillId="0" borderId="0" xfId="0" applyFont="1"/>
    <xf numFmtId="0" fontId="5" fillId="0" borderId="14" xfId="0" applyFont="1" applyBorder="1" applyAlignment="1">
      <alignment horizontal="center" vertical="center" textRotation="90" wrapText="1"/>
    </xf>
    <xf numFmtId="0" fontId="6" fillId="0" borderId="32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165" fontId="6" fillId="0" borderId="34" xfId="0" applyNumberFormat="1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/>
    </xf>
    <xf numFmtId="49" fontId="6" fillId="0" borderId="30" xfId="0" applyNumberFormat="1" applyFont="1" applyBorder="1" applyAlignment="1">
      <alignment horizontal="center" vertical="center" wrapText="1"/>
    </xf>
    <xf numFmtId="0" fontId="13" fillId="7" borderId="30" xfId="0" applyFont="1" applyFill="1" applyBorder="1" applyAlignment="1">
      <alignment horizontal="center" vertical="center"/>
    </xf>
    <xf numFmtId="165" fontId="6" fillId="0" borderId="30" xfId="0" applyNumberFormat="1" applyFont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0" fillId="0" borderId="30" xfId="0" applyBorder="1"/>
    <xf numFmtId="49" fontId="6" fillId="0" borderId="28" xfId="0" applyNumberFormat="1" applyFont="1" applyBorder="1" applyAlignment="1">
      <alignment horizontal="center" vertical="center" wrapText="1"/>
    </xf>
    <xf numFmtId="0" fontId="0" fillId="0" borderId="28" xfId="0" applyBorder="1"/>
    <xf numFmtId="0" fontId="13" fillId="7" borderId="28" xfId="0" applyFont="1" applyFill="1" applyBorder="1" applyAlignment="1">
      <alignment horizontal="center" vertical="center"/>
    </xf>
    <xf numFmtId="166" fontId="6" fillId="0" borderId="28" xfId="0" applyNumberFormat="1" applyFont="1" applyBorder="1" applyAlignment="1">
      <alignment horizontal="center" vertical="center" wrapText="1"/>
    </xf>
    <xf numFmtId="0" fontId="13" fillId="2" borderId="30" xfId="0" applyFont="1" applyFill="1" applyBorder="1" applyAlignment="1">
      <alignment horizontal="center" vertical="center"/>
    </xf>
    <xf numFmtId="0" fontId="13" fillId="2" borderId="28" xfId="0" applyFont="1" applyFill="1" applyBorder="1" applyAlignment="1">
      <alignment horizontal="center" vertical="center"/>
    </xf>
    <xf numFmtId="0" fontId="13" fillId="9" borderId="30" xfId="0" applyFont="1" applyFill="1" applyBorder="1" applyAlignment="1">
      <alignment horizontal="center" vertical="center" wrapText="1"/>
    </xf>
    <xf numFmtId="166" fontId="6" fillId="0" borderId="30" xfId="0" applyNumberFormat="1" applyFont="1" applyBorder="1" applyAlignment="1">
      <alignment horizontal="center" vertical="center" wrapText="1"/>
    </xf>
    <xf numFmtId="165" fontId="6" fillId="0" borderId="28" xfId="0" applyNumberFormat="1" applyFont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24" xfId="0" applyFont="1" applyFill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 wrapText="1"/>
    </xf>
    <xf numFmtId="0" fontId="11" fillId="3" borderId="37" xfId="0" applyFont="1" applyFill="1" applyBorder="1" applyAlignment="1">
      <alignment horizontal="center" vertical="center" wrapText="1"/>
    </xf>
    <xf numFmtId="49" fontId="19" fillId="0" borderId="30" xfId="0" applyNumberFormat="1" applyFont="1" applyBorder="1" applyAlignment="1">
      <alignment horizontal="center" vertical="center" wrapText="1"/>
    </xf>
    <xf numFmtId="0" fontId="19" fillId="0" borderId="30" xfId="0" applyFont="1" applyBorder="1" applyAlignment="1">
      <alignment vertical="center" wrapText="1"/>
    </xf>
    <xf numFmtId="0" fontId="19" fillId="0" borderId="30" xfId="0" applyFont="1" applyBorder="1"/>
    <xf numFmtId="0" fontId="19" fillId="0" borderId="1" xfId="0" applyFont="1" applyBorder="1"/>
    <xf numFmtId="0" fontId="6" fillId="0" borderId="1" xfId="0" applyFont="1" applyBorder="1" applyAlignment="1">
      <alignment horizontal="left" vertical="center" wrapText="1" indent="1"/>
    </xf>
    <xf numFmtId="0" fontId="19" fillId="10" borderId="1" xfId="0" applyFont="1" applyFill="1" applyBorder="1" applyAlignment="1">
      <alignment horizontal="center" vertical="center"/>
    </xf>
    <xf numFmtId="0" fontId="19" fillId="0" borderId="28" xfId="0" applyFont="1" applyBorder="1"/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481854</xdr:colOff>
      <xdr:row>39</xdr:row>
      <xdr:rowOff>45945</xdr:rowOff>
    </xdr:from>
    <xdr:to>
      <xdr:col>5</xdr:col>
      <xdr:colOff>1314720</xdr:colOff>
      <xdr:row>40</xdr:row>
      <xdr:rowOff>7291</xdr:rowOff>
    </xdr:to>
    <xdr:pic>
      <xdr:nvPicPr>
        <xdr:cNvPr id="38" name="Picture 2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rcRect/>
        <a:stretch>
          <a:fillRect/>
        </a:stretch>
      </xdr:blipFill>
      <xdr:spPr bwMode="auto">
        <a:xfrm>
          <a:off x="5625354" y="40409533"/>
          <a:ext cx="832866" cy="81298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504266</xdr:colOff>
      <xdr:row>40</xdr:row>
      <xdr:rowOff>79562</xdr:rowOff>
    </xdr:from>
    <xdr:to>
      <xdr:col>5</xdr:col>
      <xdr:colOff>1332940</xdr:colOff>
      <xdr:row>40</xdr:row>
      <xdr:rowOff>774887</xdr:rowOff>
    </xdr:to>
    <xdr:pic>
      <xdr:nvPicPr>
        <xdr:cNvPr id="39" name="Picture 1" descr="комплектующие для маф крышки для деревянных столбов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grayscl/>
        </a:blip>
        <a:srcRect t="8989" b="8989"/>
        <a:stretch>
          <a:fillRect/>
        </a:stretch>
      </xdr:blipFill>
      <xdr:spPr bwMode="auto">
        <a:xfrm>
          <a:off x="5647766" y="87109487"/>
          <a:ext cx="828674" cy="6953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468247</xdr:colOff>
      <xdr:row>39</xdr:row>
      <xdr:rowOff>45945</xdr:rowOff>
    </xdr:from>
    <xdr:to>
      <xdr:col>5</xdr:col>
      <xdr:colOff>1301113</xdr:colOff>
      <xdr:row>40</xdr:row>
      <xdr:rowOff>7283</xdr:rowOff>
    </xdr:to>
    <xdr:pic>
      <xdr:nvPicPr>
        <xdr:cNvPr id="40" name="Picture 2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rcRect/>
        <a:stretch>
          <a:fillRect/>
        </a:stretch>
      </xdr:blipFill>
      <xdr:spPr bwMode="auto">
        <a:xfrm>
          <a:off x="5598140" y="11353481"/>
          <a:ext cx="832866" cy="8049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515471</xdr:colOff>
      <xdr:row>38</xdr:row>
      <xdr:rowOff>138791</xdr:rowOff>
    </xdr:from>
    <xdr:to>
      <xdr:col>5</xdr:col>
      <xdr:colOff>1171574</xdr:colOff>
      <xdr:row>38</xdr:row>
      <xdr:rowOff>758207</xdr:rowOff>
    </xdr:to>
    <xdr:pic>
      <xdr:nvPicPr>
        <xdr:cNvPr id="20" name="Picture 2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rcRect/>
        <a:stretch>
          <a:fillRect/>
        </a:stretch>
      </xdr:blipFill>
      <xdr:spPr bwMode="auto">
        <a:xfrm flipH="1">
          <a:off x="4916021" y="1138916"/>
          <a:ext cx="656103" cy="61941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86592</xdr:colOff>
      <xdr:row>2</xdr:row>
      <xdr:rowOff>311728</xdr:rowOff>
    </xdr:from>
    <xdr:to>
      <xdr:col>5</xdr:col>
      <xdr:colOff>216120</xdr:colOff>
      <xdr:row>3</xdr:row>
      <xdr:rowOff>3082636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3A1AF94-9DC4-461D-8C22-9C03ACBBE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592" y="831273"/>
          <a:ext cx="5619392" cy="5074227"/>
        </a:xfrm>
        <a:prstGeom prst="rect">
          <a:avLst/>
        </a:prstGeom>
      </xdr:spPr>
    </xdr:pic>
    <xdr:clientData/>
  </xdr:twoCellAnchor>
  <xdr:twoCellAnchor editAs="oneCell">
    <xdr:from>
      <xdr:col>5</xdr:col>
      <xdr:colOff>484907</xdr:colOff>
      <xdr:row>2</xdr:row>
      <xdr:rowOff>51954</xdr:rowOff>
    </xdr:from>
    <xdr:to>
      <xdr:col>12</xdr:col>
      <xdr:colOff>796635</xdr:colOff>
      <xdr:row>3</xdr:row>
      <xdr:rowOff>1869954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C22DFA5D-8F6A-4D01-A6CA-C745D4A98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74771" y="571499"/>
          <a:ext cx="6684819" cy="4121319"/>
        </a:xfrm>
        <a:prstGeom prst="rect">
          <a:avLst/>
        </a:prstGeom>
      </xdr:spPr>
    </xdr:pic>
    <xdr:clientData/>
  </xdr:twoCellAnchor>
  <xdr:twoCellAnchor editAs="oneCell">
    <xdr:from>
      <xdr:col>5</xdr:col>
      <xdr:colOff>225135</xdr:colOff>
      <xdr:row>3</xdr:row>
      <xdr:rowOff>1731818</xdr:rowOff>
    </xdr:from>
    <xdr:to>
      <xdr:col>7</xdr:col>
      <xdr:colOff>377179</xdr:colOff>
      <xdr:row>3</xdr:row>
      <xdr:rowOff>5074227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9F29EB5-567D-43BC-949F-0ED5D3C1D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14999" y="4554682"/>
          <a:ext cx="2801725" cy="3342409"/>
        </a:xfrm>
        <a:prstGeom prst="rect">
          <a:avLst/>
        </a:prstGeom>
      </xdr:spPr>
    </xdr:pic>
    <xdr:clientData/>
  </xdr:twoCellAnchor>
  <xdr:twoCellAnchor editAs="oneCell">
    <xdr:from>
      <xdr:col>8</xdr:col>
      <xdr:colOff>207818</xdr:colOff>
      <xdr:row>3</xdr:row>
      <xdr:rowOff>1865169</xdr:rowOff>
    </xdr:from>
    <xdr:to>
      <xdr:col>12</xdr:col>
      <xdr:colOff>1039091</xdr:colOff>
      <xdr:row>3</xdr:row>
      <xdr:rowOff>5162551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C5E30EBB-E514-4ACE-9B84-1272B0848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22773" y="4688033"/>
          <a:ext cx="3879273" cy="3297382"/>
        </a:xfrm>
        <a:prstGeom prst="rect">
          <a:avLst/>
        </a:prstGeom>
      </xdr:spPr>
    </xdr:pic>
    <xdr:clientData/>
  </xdr:twoCellAnchor>
  <xdr:twoCellAnchor editAs="oneCell">
    <xdr:from>
      <xdr:col>5</xdr:col>
      <xdr:colOff>103909</xdr:colOff>
      <xdr:row>11</xdr:row>
      <xdr:rowOff>86590</xdr:rowOff>
    </xdr:from>
    <xdr:to>
      <xdr:col>5</xdr:col>
      <xdr:colOff>1780309</xdr:colOff>
      <xdr:row>11</xdr:row>
      <xdr:rowOff>934315</xdr:rowOff>
    </xdr:to>
    <xdr:pic>
      <xdr:nvPicPr>
        <xdr:cNvPr id="50" name="Рисунок 49">
          <a:extLst>
            <a:ext uri="{FF2B5EF4-FFF2-40B4-BE49-F238E27FC236}">
              <a16:creationId xmlns:a16="http://schemas.microsoft.com/office/drawing/2014/main" id="{C8D6792D-55BB-43D3-807B-375A7F811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93773" y="12018817"/>
          <a:ext cx="1676400" cy="84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121228</xdr:colOff>
      <xdr:row>9</xdr:row>
      <xdr:rowOff>51954</xdr:rowOff>
    </xdr:from>
    <xdr:to>
      <xdr:col>5</xdr:col>
      <xdr:colOff>1496638</xdr:colOff>
      <xdr:row>9</xdr:row>
      <xdr:rowOff>594879</xdr:rowOff>
    </xdr:to>
    <xdr:pic>
      <xdr:nvPicPr>
        <xdr:cNvPr id="51" name="Рисунок 50">
          <a:extLst>
            <a:ext uri="{FF2B5EF4-FFF2-40B4-BE49-F238E27FC236}">
              <a16:creationId xmlns:a16="http://schemas.microsoft.com/office/drawing/2014/main" id="{0A2C2C82-4A0C-46A1-864B-36580BD7CB6B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611092" y="10702636"/>
          <a:ext cx="1375410" cy="542925"/>
        </a:xfrm>
        <a:prstGeom prst="rect">
          <a:avLst/>
        </a:prstGeom>
      </xdr:spPr>
    </xdr:pic>
    <xdr:clientData/>
  </xdr:twoCellAnchor>
  <xdr:twoCellAnchor editAs="oneCell">
    <xdr:from>
      <xdr:col>5</xdr:col>
      <xdr:colOff>207818</xdr:colOff>
      <xdr:row>13</xdr:row>
      <xdr:rowOff>207818</xdr:rowOff>
    </xdr:from>
    <xdr:to>
      <xdr:col>5</xdr:col>
      <xdr:colOff>1417493</xdr:colOff>
      <xdr:row>13</xdr:row>
      <xdr:rowOff>1350818</xdr:rowOff>
    </xdr:to>
    <xdr:pic>
      <xdr:nvPicPr>
        <xdr:cNvPr id="52" name="Рисунок 51">
          <a:extLst>
            <a:ext uri="{FF2B5EF4-FFF2-40B4-BE49-F238E27FC236}">
              <a16:creationId xmlns:a16="http://schemas.microsoft.com/office/drawing/2014/main" id="{FCA63E33-7381-47CC-906A-523E22626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97682" y="13473545"/>
          <a:ext cx="1209675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242455</xdr:colOff>
      <xdr:row>14</xdr:row>
      <xdr:rowOff>277091</xdr:rowOff>
    </xdr:from>
    <xdr:to>
      <xdr:col>5</xdr:col>
      <xdr:colOff>1471180</xdr:colOff>
      <xdr:row>14</xdr:row>
      <xdr:rowOff>1420091</xdr:rowOff>
    </xdr:to>
    <xdr:pic>
      <xdr:nvPicPr>
        <xdr:cNvPr id="53" name="Рисунок 52">
          <a:extLst>
            <a:ext uri="{FF2B5EF4-FFF2-40B4-BE49-F238E27FC236}">
              <a16:creationId xmlns:a16="http://schemas.microsoft.com/office/drawing/2014/main" id="{8F733AF0-BA2B-4203-8511-4B058C5E0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2319" y="15014864"/>
          <a:ext cx="1228725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242454</xdr:colOff>
      <xdr:row>15</xdr:row>
      <xdr:rowOff>207818</xdr:rowOff>
    </xdr:from>
    <xdr:to>
      <xdr:col>5</xdr:col>
      <xdr:colOff>1433079</xdr:colOff>
      <xdr:row>15</xdr:row>
      <xdr:rowOff>1350818</xdr:rowOff>
    </xdr:to>
    <xdr:pic>
      <xdr:nvPicPr>
        <xdr:cNvPr id="54" name="Рисунок 53">
          <a:extLst>
            <a:ext uri="{FF2B5EF4-FFF2-40B4-BE49-F238E27FC236}">
              <a16:creationId xmlns:a16="http://schemas.microsoft.com/office/drawing/2014/main" id="{5B1DF437-2912-4FE6-B4C3-0F1C1D458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2318" y="16521545"/>
          <a:ext cx="1190625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277091</xdr:colOff>
      <xdr:row>16</xdr:row>
      <xdr:rowOff>138546</xdr:rowOff>
    </xdr:from>
    <xdr:to>
      <xdr:col>5</xdr:col>
      <xdr:colOff>1420091</xdr:colOff>
      <xdr:row>16</xdr:row>
      <xdr:rowOff>1281546</xdr:rowOff>
    </xdr:to>
    <xdr:pic>
      <xdr:nvPicPr>
        <xdr:cNvPr id="55" name="Рисунок 54">
          <a:extLst>
            <a:ext uri="{FF2B5EF4-FFF2-40B4-BE49-F238E27FC236}">
              <a16:creationId xmlns:a16="http://schemas.microsoft.com/office/drawing/2014/main" id="{D7F9881D-3922-41DA-AC5F-D2F2CEA5D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6955" y="18028228"/>
          <a:ext cx="11430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277091</xdr:colOff>
      <xdr:row>17</xdr:row>
      <xdr:rowOff>190500</xdr:rowOff>
    </xdr:from>
    <xdr:to>
      <xdr:col>5</xdr:col>
      <xdr:colOff>1381991</xdr:colOff>
      <xdr:row>17</xdr:row>
      <xdr:rowOff>1333500</xdr:rowOff>
    </xdr:to>
    <xdr:pic>
      <xdr:nvPicPr>
        <xdr:cNvPr id="56" name="Рисунок 55">
          <a:extLst>
            <a:ext uri="{FF2B5EF4-FFF2-40B4-BE49-F238E27FC236}">
              <a16:creationId xmlns:a16="http://schemas.microsoft.com/office/drawing/2014/main" id="{E67CB93D-CCEB-4301-A805-92D5C71A8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6955" y="19656136"/>
          <a:ext cx="11049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329045</xdr:colOff>
      <xdr:row>18</xdr:row>
      <xdr:rowOff>207819</xdr:rowOff>
    </xdr:from>
    <xdr:to>
      <xdr:col>5</xdr:col>
      <xdr:colOff>1433945</xdr:colOff>
      <xdr:row>18</xdr:row>
      <xdr:rowOff>1350819</xdr:rowOff>
    </xdr:to>
    <xdr:pic>
      <xdr:nvPicPr>
        <xdr:cNvPr id="57" name="Рисунок 56">
          <a:extLst>
            <a:ext uri="{FF2B5EF4-FFF2-40B4-BE49-F238E27FC236}">
              <a16:creationId xmlns:a16="http://schemas.microsoft.com/office/drawing/2014/main" id="{FB78615C-0250-4ECA-8BF9-EDC846493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8909" y="21249410"/>
          <a:ext cx="11049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259773</xdr:colOff>
      <xdr:row>19</xdr:row>
      <xdr:rowOff>173182</xdr:rowOff>
    </xdr:from>
    <xdr:to>
      <xdr:col>5</xdr:col>
      <xdr:colOff>1345623</xdr:colOff>
      <xdr:row>19</xdr:row>
      <xdr:rowOff>1316182</xdr:rowOff>
    </xdr:to>
    <xdr:pic>
      <xdr:nvPicPr>
        <xdr:cNvPr id="58" name="Рисунок 57">
          <a:extLst>
            <a:ext uri="{FF2B5EF4-FFF2-40B4-BE49-F238E27FC236}">
              <a16:creationId xmlns:a16="http://schemas.microsoft.com/office/drawing/2014/main" id="{9EEADA48-498F-4F31-A08F-514F9CF22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9637" y="22790727"/>
          <a:ext cx="108585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242455</xdr:colOff>
      <xdr:row>23</xdr:row>
      <xdr:rowOff>173182</xdr:rowOff>
    </xdr:from>
    <xdr:to>
      <xdr:col>5</xdr:col>
      <xdr:colOff>1356880</xdr:colOff>
      <xdr:row>23</xdr:row>
      <xdr:rowOff>1316182</xdr:rowOff>
    </xdr:to>
    <xdr:pic>
      <xdr:nvPicPr>
        <xdr:cNvPr id="60" name="Рисунок 59">
          <a:extLst>
            <a:ext uri="{FF2B5EF4-FFF2-40B4-BE49-F238E27FC236}">
              <a16:creationId xmlns:a16="http://schemas.microsoft.com/office/drawing/2014/main" id="{67ABFB59-17A3-4405-B376-8820C9397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2319" y="26427546"/>
          <a:ext cx="1114425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121227</xdr:colOff>
      <xdr:row>24</xdr:row>
      <xdr:rowOff>155862</xdr:rowOff>
    </xdr:from>
    <xdr:to>
      <xdr:col>5</xdr:col>
      <xdr:colOff>1679863</xdr:colOff>
      <xdr:row>24</xdr:row>
      <xdr:rowOff>1617083</xdr:rowOff>
    </xdr:to>
    <xdr:pic>
      <xdr:nvPicPr>
        <xdr:cNvPr id="61" name="Рисунок 60">
          <a:extLst>
            <a:ext uri="{FF2B5EF4-FFF2-40B4-BE49-F238E27FC236}">
              <a16:creationId xmlns:a16="http://schemas.microsoft.com/office/drawing/2014/main" id="{6F29CED7-9819-4A09-80DA-94DE21E1A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1091" y="27986180"/>
          <a:ext cx="1558636" cy="14612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86591</xdr:colOff>
      <xdr:row>25</xdr:row>
      <xdr:rowOff>69273</xdr:rowOff>
    </xdr:from>
    <xdr:to>
      <xdr:col>5</xdr:col>
      <xdr:colOff>1714500</xdr:colOff>
      <xdr:row>25</xdr:row>
      <xdr:rowOff>1583607</xdr:rowOff>
    </xdr:to>
    <xdr:pic>
      <xdr:nvPicPr>
        <xdr:cNvPr id="62" name="Рисунок 61">
          <a:extLst>
            <a:ext uri="{FF2B5EF4-FFF2-40B4-BE49-F238E27FC236}">
              <a16:creationId xmlns:a16="http://schemas.microsoft.com/office/drawing/2014/main" id="{5C03CA27-C5B5-4735-9889-99F028F98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76455" y="29683364"/>
          <a:ext cx="1627909" cy="1514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225136</xdr:colOff>
      <xdr:row>27</xdr:row>
      <xdr:rowOff>277091</xdr:rowOff>
    </xdr:from>
    <xdr:to>
      <xdr:col>5</xdr:col>
      <xdr:colOff>1301461</xdr:colOff>
      <xdr:row>27</xdr:row>
      <xdr:rowOff>1420091</xdr:rowOff>
    </xdr:to>
    <xdr:pic>
      <xdr:nvPicPr>
        <xdr:cNvPr id="63" name="Рисунок 62">
          <a:extLst>
            <a:ext uri="{FF2B5EF4-FFF2-40B4-BE49-F238E27FC236}">
              <a16:creationId xmlns:a16="http://schemas.microsoft.com/office/drawing/2014/main" id="{CD4315A8-3579-49A6-8A2E-D418B68E6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32004000"/>
          <a:ext cx="1076325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103909</xdr:colOff>
      <xdr:row>28</xdr:row>
      <xdr:rowOff>398318</xdr:rowOff>
    </xdr:from>
    <xdr:to>
      <xdr:col>5</xdr:col>
      <xdr:colOff>1608859</xdr:colOff>
      <xdr:row>28</xdr:row>
      <xdr:rowOff>1541318</xdr:rowOff>
    </xdr:to>
    <xdr:pic>
      <xdr:nvPicPr>
        <xdr:cNvPr id="64" name="Рисунок 63">
          <a:extLst>
            <a:ext uri="{FF2B5EF4-FFF2-40B4-BE49-F238E27FC236}">
              <a16:creationId xmlns:a16="http://schemas.microsoft.com/office/drawing/2014/main" id="{7B918087-7DDD-4DEC-9270-E14131550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93773" y="33909000"/>
          <a:ext cx="150495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207818</xdr:colOff>
      <xdr:row>30</xdr:row>
      <xdr:rowOff>86591</xdr:rowOff>
    </xdr:from>
    <xdr:to>
      <xdr:col>5</xdr:col>
      <xdr:colOff>1579418</xdr:colOff>
      <xdr:row>30</xdr:row>
      <xdr:rowOff>1229591</xdr:rowOff>
    </xdr:to>
    <xdr:pic>
      <xdr:nvPicPr>
        <xdr:cNvPr id="65" name="Рисунок 64">
          <a:extLst>
            <a:ext uri="{FF2B5EF4-FFF2-40B4-BE49-F238E27FC236}">
              <a16:creationId xmlns:a16="http://schemas.microsoft.com/office/drawing/2014/main" id="{2E08FF40-3792-4403-9FF3-D49B34584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97682" y="35917909"/>
          <a:ext cx="13716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221673</xdr:colOff>
      <xdr:row>31</xdr:row>
      <xdr:rowOff>360218</xdr:rowOff>
    </xdr:from>
    <xdr:to>
      <xdr:col>5</xdr:col>
      <xdr:colOff>1593273</xdr:colOff>
      <xdr:row>31</xdr:row>
      <xdr:rowOff>1503218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2105CC47-F8D2-4CEF-A9E2-2300832A9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711537" y="37507718"/>
          <a:ext cx="1371600" cy="1143000"/>
        </a:xfrm>
        <a:prstGeom prst="rect">
          <a:avLst/>
        </a:prstGeom>
      </xdr:spPr>
    </xdr:pic>
    <xdr:clientData/>
  </xdr:twoCellAnchor>
  <xdr:twoCellAnchor editAs="oneCell">
    <xdr:from>
      <xdr:col>5</xdr:col>
      <xdr:colOff>207818</xdr:colOff>
      <xdr:row>33</xdr:row>
      <xdr:rowOff>467591</xdr:rowOff>
    </xdr:from>
    <xdr:to>
      <xdr:col>5</xdr:col>
      <xdr:colOff>1731818</xdr:colOff>
      <xdr:row>33</xdr:row>
      <xdr:rowOff>1343891</xdr:rowOff>
    </xdr:to>
    <xdr:pic>
      <xdr:nvPicPr>
        <xdr:cNvPr id="66" name="Рисунок 65">
          <a:extLst>
            <a:ext uri="{FF2B5EF4-FFF2-40B4-BE49-F238E27FC236}">
              <a16:creationId xmlns:a16="http://schemas.microsoft.com/office/drawing/2014/main" id="{ADEC7830-2B1B-4211-9DA1-13D8E68DD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97682" y="39658636"/>
          <a:ext cx="15240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103909</xdr:colOff>
      <xdr:row>34</xdr:row>
      <xdr:rowOff>277091</xdr:rowOff>
    </xdr:from>
    <xdr:to>
      <xdr:col>5</xdr:col>
      <xdr:colOff>1627909</xdr:colOff>
      <xdr:row>34</xdr:row>
      <xdr:rowOff>1153391</xdr:rowOff>
    </xdr:to>
    <xdr:pic>
      <xdr:nvPicPr>
        <xdr:cNvPr id="67" name="Рисунок 66">
          <a:extLst>
            <a:ext uri="{FF2B5EF4-FFF2-40B4-BE49-F238E27FC236}">
              <a16:creationId xmlns:a16="http://schemas.microsoft.com/office/drawing/2014/main" id="{54F7461A-CB0E-4612-8632-0CF115E22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93773" y="41303864"/>
          <a:ext cx="15240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484909</xdr:colOff>
      <xdr:row>36</xdr:row>
      <xdr:rowOff>380999</xdr:rowOff>
    </xdr:from>
    <xdr:to>
      <xdr:col>5</xdr:col>
      <xdr:colOff>1333500</xdr:colOff>
      <xdr:row>36</xdr:row>
      <xdr:rowOff>1229590</xdr:rowOff>
    </xdr:to>
    <xdr:pic>
      <xdr:nvPicPr>
        <xdr:cNvPr id="69" name="Рисунок 68">
          <a:extLst>
            <a:ext uri="{FF2B5EF4-FFF2-40B4-BE49-F238E27FC236}">
              <a16:creationId xmlns:a16="http://schemas.microsoft.com/office/drawing/2014/main" id="{DEF97091-E315-4909-A06C-C16BA77FAE11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 bwMode="auto">
        <a:xfrm>
          <a:off x="5974773" y="43243499"/>
          <a:ext cx="848591" cy="84859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242455</xdr:colOff>
      <xdr:row>21</xdr:row>
      <xdr:rowOff>225136</xdr:rowOff>
    </xdr:from>
    <xdr:to>
      <xdr:col>5</xdr:col>
      <xdr:colOff>1311160</xdr:colOff>
      <xdr:row>21</xdr:row>
      <xdr:rowOff>1402771</xdr:rowOff>
    </xdr:to>
    <xdr:pic>
      <xdr:nvPicPr>
        <xdr:cNvPr id="70" name="Рисунок 69">
          <a:extLst>
            <a:ext uri="{FF2B5EF4-FFF2-40B4-BE49-F238E27FC236}">
              <a16:creationId xmlns:a16="http://schemas.microsoft.com/office/drawing/2014/main" id="{55E105AA-5AA2-48D7-A303-F90FFF35A6AF}"/>
            </a:ext>
          </a:extLst>
        </xdr:cNvPr>
        <xdr:cNvPicPr/>
      </xdr:nvPicPr>
      <xdr:blipFill>
        <a:blip xmlns:r="http://schemas.openxmlformats.org/officeDocument/2006/relationships" r:embed="rId24" cstate="print"/>
        <a:srcRect l="26978" t="7028" r="32333" b="4401"/>
        <a:stretch>
          <a:fillRect/>
        </a:stretch>
      </xdr:blipFill>
      <xdr:spPr bwMode="auto">
        <a:xfrm>
          <a:off x="5732319" y="24574500"/>
          <a:ext cx="1068705" cy="11776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149679</xdr:colOff>
      <xdr:row>35</xdr:row>
      <xdr:rowOff>204107</xdr:rowOff>
    </xdr:from>
    <xdr:to>
      <xdr:col>5</xdr:col>
      <xdr:colOff>1224643</xdr:colOff>
      <xdr:row>35</xdr:row>
      <xdr:rowOff>796521</xdr:rowOff>
    </xdr:to>
    <xdr:pic>
      <xdr:nvPicPr>
        <xdr:cNvPr id="30" name="Picture 10">
          <a:extLst>
            <a:ext uri="{FF2B5EF4-FFF2-40B4-BE49-F238E27FC236}">
              <a16:creationId xmlns:a16="http://schemas.microsoft.com/office/drawing/2014/main" id="{81746C1F-FF13-4C7F-92C4-073135C25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/>
        <a:stretch/>
      </xdr:blipFill>
      <xdr:spPr bwMode="auto">
        <a:xfrm>
          <a:off x="5036004" y="75927857"/>
          <a:ext cx="1074964" cy="59241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2"/>
  <sheetViews>
    <sheetView tabSelected="1" topLeftCell="B31" zoomScale="55" zoomScaleNormal="55" workbookViewId="0">
      <selection activeCell="L36" sqref="L36"/>
    </sheetView>
  </sheetViews>
  <sheetFormatPr defaultRowHeight="15" x14ac:dyDescent="0.25"/>
  <cols>
    <col min="1" max="1" width="6.28515625" hidden="1" customWidth="1"/>
    <col min="2" max="2" width="7.7109375" style="2" customWidth="1"/>
    <col min="3" max="3" width="21.42578125" customWidth="1"/>
    <col min="4" max="4" width="41.28515625" style="3" customWidth="1"/>
    <col min="5" max="5" width="11.7109375" style="5" customWidth="1"/>
    <col min="6" max="6" width="26.7109375" customWidth="1"/>
    <col min="7" max="7" width="12.85546875" customWidth="1"/>
    <col min="8" max="8" width="10.140625" customWidth="1"/>
    <col min="9" max="10" width="11.7109375" customWidth="1"/>
    <col min="11" max="11" width="12.28515625" style="10" customWidth="1"/>
    <col min="12" max="12" width="10.140625" customWidth="1"/>
    <col min="13" max="13" width="23.85546875" style="10" customWidth="1"/>
    <col min="14" max="14" width="12.28515625" customWidth="1"/>
    <col min="15" max="15" width="6.5703125" customWidth="1"/>
    <col min="16" max="16" width="14.140625" customWidth="1"/>
    <col min="17" max="17" width="7.28515625" customWidth="1"/>
  </cols>
  <sheetData>
    <row r="1" spans="1:17" ht="21.75" thickBot="1" x14ac:dyDescent="0.3">
      <c r="A1" s="106" t="s">
        <v>37</v>
      </c>
      <c r="B1" s="107"/>
      <c r="C1" s="107"/>
      <c r="D1" s="107"/>
      <c r="E1" s="107"/>
      <c r="F1" s="107"/>
      <c r="G1" s="107"/>
      <c r="H1" s="107"/>
      <c r="I1" s="107"/>
      <c r="J1" s="107"/>
      <c r="K1" s="108"/>
      <c r="M1" s="46"/>
    </row>
    <row r="2" spans="1:17" ht="18.75" customHeight="1" thickBot="1" x14ac:dyDescent="0.3">
      <c r="A2" s="21"/>
      <c r="B2" s="112" t="s">
        <v>38</v>
      </c>
      <c r="C2" s="112"/>
      <c r="D2" s="112"/>
      <c r="E2" s="112"/>
      <c r="F2" s="112"/>
      <c r="G2" s="112"/>
      <c r="H2" s="112"/>
      <c r="I2" s="112"/>
      <c r="J2" s="112"/>
      <c r="K2" s="113"/>
      <c r="M2" s="18"/>
    </row>
    <row r="3" spans="1:17" ht="181.5" customHeight="1" x14ac:dyDescent="0.25">
      <c r="A3" s="18"/>
      <c r="B3" s="114"/>
      <c r="C3" s="115"/>
      <c r="D3" s="115"/>
      <c r="E3" s="115"/>
      <c r="F3" s="115"/>
      <c r="G3" s="115"/>
      <c r="H3" s="115"/>
      <c r="I3" s="115"/>
      <c r="J3" s="115"/>
      <c r="K3" s="116"/>
      <c r="M3" s="18"/>
    </row>
    <row r="4" spans="1:17" ht="408.75" customHeight="1" thickBot="1" x14ac:dyDescent="0.3">
      <c r="A4" s="17"/>
      <c r="B4" s="117"/>
      <c r="C4" s="118"/>
      <c r="D4" s="118"/>
      <c r="E4" s="118"/>
      <c r="F4" s="118"/>
      <c r="G4" s="118"/>
      <c r="H4" s="118"/>
      <c r="I4" s="118"/>
      <c r="J4" s="118"/>
      <c r="K4" s="119"/>
      <c r="M4" s="18"/>
      <c r="N4" s="76"/>
    </row>
    <row r="5" spans="1:17" ht="69" customHeight="1" thickBot="1" x14ac:dyDescent="0.3">
      <c r="A5" s="6"/>
      <c r="B5" s="32" t="s">
        <v>0</v>
      </c>
      <c r="C5" s="33" t="s">
        <v>2</v>
      </c>
      <c r="D5" s="34" t="s">
        <v>1</v>
      </c>
      <c r="E5" s="33" t="s">
        <v>9</v>
      </c>
      <c r="F5" s="33" t="s">
        <v>3</v>
      </c>
      <c r="G5" s="33" t="s">
        <v>4</v>
      </c>
      <c r="H5" s="35" t="s">
        <v>5</v>
      </c>
      <c r="I5" s="35" t="s">
        <v>6</v>
      </c>
      <c r="J5" s="35" t="s">
        <v>7</v>
      </c>
      <c r="K5" s="36" t="s">
        <v>8</v>
      </c>
      <c r="L5" s="61" t="s">
        <v>17</v>
      </c>
      <c r="M5" s="47" t="s">
        <v>24</v>
      </c>
      <c r="N5" s="48" t="s">
        <v>13</v>
      </c>
      <c r="O5" s="49" t="s">
        <v>14</v>
      </c>
      <c r="P5" s="48" t="s">
        <v>15</v>
      </c>
      <c r="Q5" s="49" t="s">
        <v>16</v>
      </c>
    </row>
    <row r="6" spans="1:17" ht="21" customHeight="1" x14ac:dyDescent="0.25">
      <c r="A6" s="11"/>
      <c r="B6" s="109" t="s">
        <v>10</v>
      </c>
      <c r="C6" s="110"/>
      <c r="D6" s="110"/>
      <c r="E6" s="110"/>
      <c r="F6" s="110"/>
      <c r="G6" s="110"/>
      <c r="H6" s="110"/>
      <c r="I6" s="110"/>
      <c r="J6" s="110"/>
      <c r="K6" s="111"/>
      <c r="L6" s="62"/>
      <c r="M6" s="7"/>
      <c r="N6" s="51"/>
      <c r="O6" s="51"/>
      <c r="P6" s="51"/>
      <c r="Q6" s="51"/>
    </row>
    <row r="7" spans="1:17" ht="36" customHeight="1" x14ac:dyDescent="0.25">
      <c r="A7" s="11"/>
      <c r="B7" s="69">
        <v>1</v>
      </c>
      <c r="C7" s="64" t="s">
        <v>44</v>
      </c>
      <c r="D7" s="22" t="s">
        <v>39</v>
      </c>
      <c r="E7" s="44">
        <v>5</v>
      </c>
      <c r="F7" s="22"/>
      <c r="G7" s="65">
        <v>8014</v>
      </c>
      <c r="H7" s="22">
        <v>0.15</v>
      </c>
      <c r="I7" s="22">
        <v>0.1</v>
      </c>
      <c r="J7" s="22">
        <v>0.1</v>
      </c>
      <c r="K7" s="25">
        <f t="shared" ref="K7:K10" si="0">H7*I7*J7</f>
        <v>1.5E-3</v>
      </c>
      <c r="L7" s="63">
        <f t="shared" ref="L7:L41" si="1">K7*E7</f>
        <v>7.4999999999999997E-3</v>
      </c>
      <c r="M7" s="53"/>
      <c r="N7" s="51"/>
      <c r="O7" s="51"/>
      <c r="P7" s="51"/>
      <c r="Q7" s="51"/>
    </row>
    <row r="8" spans="1:17" ht="36" customHeight="1" x14ac:dyDescent="0.25">
      <c r="A8" s="11"/>
      <c r="B8" s="69">
        <v>2</v>
      </c>
      <c r="C8" s="64" t="s">
        <v>35</v>
      </c>
      <c r="D8" s="22" t="s">
        <v>34</v>
      </c>
      <c r="E8" s="44">
        <v>2</v>
      </c>
      <c r="F8" s="22"/>
      <c r="G8" s="65">
        <v>8014</v>
      </c>
      <c r="H8" s="22">
        <v>1</v>
      </c>
      <c r="I8" s="22">
        <v>0.1</v>
      </c>
      <c r="J8" s="22">
        <v>0.1</v>
      </c>
      <c r="K8" s="25">
        <f t="shared" ref="K8" si="2">H8*I8*J8</f>
        <v>1.0000000000000002E-2</v>
      </c>
      <c r="L8" s="63"/>
      <c r="M8" s="53"/>
      <c r="N8" s="51"/>
      <c r="O8" s="51"/>
      <c r="P8" s="51"/>
      <c r="Q8" s="51"/>
    </row>
    <row r="9" spans="1:17" ht="46.5" customHeight="1" x14ac:dyDescent="0.25">
      <c r="A9" s="11"/>
      <c r="B9" s="69">
        <v>3</v>
      </c>
      <c r="C9" s="64" t="s">
        <v>45</v>
      </c>
      <c r="D9" s="22" t="s">
        <v>40</v>
      </c>
      <c r="E9" s="44">
        <v>4</v>
      </c>
      <c r="F9" s="22"/>
      <c r="G9" s="65">
        <v>8014</v>
      </c>
      <c r="H9" s="22">
        <v>1.5</v>
      </c>
      <c r="I9" s="22">
        <v>0.1</v>
      </c>
      <c r="J9" s="22">
        <v>0.1</v>
      </c>
      <c r="K9" s="25">
        <f t="shared" si="0"/>
        <v>1.5000000000000003E-2</v>
      </c>
      <c r="L9" s="63">
        <f t="shared" si="1"/>
        <v>6.0000000000000012E-2</v>
      </c>
      <c r="M9" s="53"/>
      <c r="N9" s="51"/>
      <c r="O9" s="51"/>
      <c r="P9" s="51"/>
      <c r="Q9" s="51"/>
    </row>
    <row r="10" spans="1:17" s="1" customFormat="1" ht="50.25" customHeight="1" thickBot="1" x14ac:dyDescent="0.3">
      <c r="A10" s="12"/>
      <c r="B10" s="70">
        <v>4</v>
      </c>
      <c r="C10" s="64" t="s">
        <v>30</v>
      </c>
      <c r="D10" s="44" t="s">
        <v>29</v>
      </c>
      <c r="E10" s="45">
        <v>11</v>
      </c>
      <c r="F10" s="37"/>
      <c r="G10" s="38">
        <v>7047</v>
      </c>
      <c r="H10" s="37">
        <v>0.7</v>
      </c>
      <c r="I10" s="37">
        <v>0.1</v>
      </c>
      <c r="J10" s="37">
        <v>0.05</v>
      </c>
      <c r="K10" s="43">
        <f t="shared" si="0"/>
        <v>3.4999999999999996E-3</v>
      </c>
      <c r="L10" s="63">
        <f t="shared" si="1"/>
        <v>3.8499999999999993E-2</v>
      </c>
      <c r="M10" s="54" t="s">
        <v>25</v>
      </c>
      <c r="N10" s="48">
        <v>4</v>
      </c>
      <c r="O10" s="48">
        <f>N10*E10</f>
        <v>44</v>
      </c>
      <c r="P10" s="48"/>
      <c r="Q10" s="48">
        <f t="shared" ref="Q10:Q41" si="3">P10*E10</f>
        <v>0</v>
      </c>
    </row>
    <row r="11" spans="1:17" s="1" customFormat="1" ht="25.5" customHeight="1" thickBot="1" x14ac:dyDescent="0.3">
      <c r="A11" s="77"/>
      <c r="B11" s="103" t="s">
        <v>41</v>
      </c>
      <c r="C11" s="104"/>
      <c r="D11" s="104"/>
      <c r="E11" s="104"/>
      <c r="F11" s="104"/>
      <c r="G11" s="104"/>
      <c r="H11" s="104"/>
      <c r="I11" s="104"/>
      <c r="J11" s="104"/>
      <c r="K11" s="105"/>
      <c r="L11" s="63"/>
      <c r="M11" s="54"/>
      <c r="N11" s="48"/>
      <c r="O11" s="48"/>
      <c r="P11" s="48"/>
      <c r="Q11" s="48"/>
    </row>
    <row r="12" spans="1:17" s="1" customFormat="1" ht="90" customHeight="1" thickBot="1" x14ac:dyDescent="0.3">
      <c r="A12" s="77"/>
      <c r="B12" s="78">
        <v>5</v>
      </c>
      <c r="C12" s="79" t="s">
        <v>42</v>
      </c>
      <c r="D12" s="80" t="s">
        <v>43</v>
      </c>
      <c r="E12" s="80">
        <v>1</v>
      </c>
      <c r="F12"/>
      <c r="G12" s="83"/>
      <c r="H12" s="81">
        <v>1.1599999999999999</v>
      </c>
      <c r="I12" s="81">
        <v>1.1599999999999999</v>
      </c>
      <c r="J12" s="81">
        <v>1.08</v>
      </c>
      <c r="K12" s="82"/>
      <c r="L12" s="63"/>
      <c r="M12" s="54"/>
      <c r="N12" s="48"/>
      <c r="O12" s="48"/>
      <c r="P12" s="48"/>
      <c r="Q12" s="48"/>
    </row>
    <row r="13" spans="1:17" ht="23.25" customHeight="1" thickBot="1" x14ac:dyDescent="0.3">
      <c r="A13" s="11"/>
      <c r="B13" s="103" t="s">
        <v>12</v>
      </c>
      <c r="C13" s="104"/>
      <c r="D13" s="104"/>
      <c r="E13" s="104"/>
      <c r="F13" s="104"/>
      <c r="G13" s="104"/>
      <c r="H13" s="104"/>
      <c r="I13" s="104"/>
      <c r="J13" s="104"/>
      <c r="K13" s="105"/>
      <c r="L13" s="63">
        <f t="shared" si="1"/>
        <v>0</v>
      </c>
      <c r="M13" s="7"/>
      <c r="N13" s="51"/>
      <c r="O13" s="48">
        <f t="shared" ref="O13:O41" si="4">N13*E13</f>
        <v>0</v>
      </c>
      <c r="P13" s="51"/>
      <c r="Q13" s="48">
        <f t="shared" si="3"/>
        <v>0</v>
      </c>
    </row>
    <row r="14" spans="1:17" s="1" customFormat="1" ht="116.25" customHeight="1" x14ac:dyDescent="0.25">
      <c r="A14" s="16" t="s">
        <v>18</v>
      </c>
      <c r="B14" s="23">
        <v>6</v>
      </c>
      <c r="C14" s="84" t="s">
        <v>51</v>
      </c>
      <c r="D14" s="23" t="s">
        <v>46</v>
      </c>
      <c r="E14" s="23">
        <v>2</v>
      </c>
      <c r="F14" s="90"/>
      <c r="G14" s="85">
        <v>6018</v>
      </c>
      <c r="H14" s="23"/>
      <c r="I14" s="23"/>
      <c r="J14" s="23"/>
      <c r="K14" s="86"/>
      <c r="L14" s="63">
        <f t="shared" si="1"/>
        <v>0</v>
      </c>
      <c r="M14" s="52" t="s">
        <v>27</v>
      </c>
      <c r="N14" s="55">
        <v>6</v>
      </c>
      <c r="O14" s="48">
        <f t="shared" si="4"/>
        <v>12</v>
      </c>
      <c r="P14" s="56"/>
      <c r="Q14" s="48">
        <f t="shared" si="3"/>
        <v>0</v>
      </c>
    </row>
    <row r="15" spans="1:17" s="1" customFormat="1" ht="124.5" customHeight="1" x14ac:dyDescent="0.25">
      <c r="A15" s="19"/>
      <c r="B15" s="22">
        <v>7</v>
      </c>
      <c r="C15" s="71" t="s">
        <v>52</v>
      </c>
      <c r="D15" s="22" t="s">
        <v>47</v>
      </c>
      <c r="E15" s="22">
        <v>1</v>
      </c>
      <c r="F15" s="50"/>
      <c r="G15" s="74">
        <v>6018</v>
      </c>
      <c r="H15" s="22"/>
      <c r="I15" s="22"/>
      <c r="J15" s="22"/>
      <c r="K15" s="53"/>
      <c r="L15" s="63">
        <f t="shared" si="1"/>
        <v>0</v>
      </c>
      <c r="M15" s="57" t="s">
        <v>28</v>
      </c>
      <c r="N15" s="55"/>
      <c r="O15" s="48">
        <f t="shared" si="4"/>
        <v>0</v>
      </c>
      <c r="P15" s="56">
        <v>18</v>
      </c>
      <c r="Q15" s="48">
        <f t="shared" si="3"/>
        <v>18</v>
      </c>
    </row>
    <row r="16" spans="1:17" s="1" customFormat="1" ht="124.5" customHeight="1" x14ac:dyDescent="0.25">
      <c r="A16" s="19"/>
      <c r="B16" s="22">
        <v>8</v>
      </c>
      <c r="C16" s="71" t="s">
        <v>53</v>
      </c>
      <c r="D16" s="22" t="s">
        <v>48</v>
      </c>
      <c r="E16" s="22">
        <v>1</v>
      </c>
      <c r="F16" s="50"/>
      <c r="G16" s="74">
        <v>6018</v>
      </c>
      <c r="H16" s="22"/>
      <c r="I16" s="22"/>
      <c r="J16" s="22"/>
      <c r="K16" s="53"/>
      <c r="L16" s="63"/>
      <c r="M16" s="57"/>
      <c r="N16" s="55"/>
      <c r="O16" s="48"/>
      <c r="P16" s="56"/>
      <c r="Q16" s="48"/>
    </row>
    <row r="17" spans="1:17" s="1" customFormat="1" ht="124.5" customHeight="1" x14ac:dyDescent="0.25">
      <c r="A17" s="19"/>
      <c r="B17" s="22">
        <v>9</v>
      </c>
      <c r="C17" s="71" t="s">
        <v>54</v>
      </c>
      <c r="D17" s="22" t="s">
        <v>49</v>
      </c>
      <c r="E17" s="22">
        <v>1</v>
      </c>
      <c r="F17" s="50"/>
      <c r="G17" s="73">
        <v>2008</v>
      </c>
      <c r="H17" s="22"/>
      <c r="I17" s="22"/>
      <c r="J17" s="22"/>
      <c r="K17" s="53"/>
      <c r="L17" s="63"/>
      <c r="M17" s="57"/>
      <c r="N17" s="55"/>
      <c r="O17" s="48"/>
      <c r="P17" s="56"/>
      <c r="Q17" s="48"/>
    </row>
    <row r="18" spans="1:17" s="1" customFormat="1" ht="124.5" customHeight="1" x14ac:dyDescent="0.25">
      <c r="A18" s="19"/>
      <c r="B18" s="22">
        <v>10</v>
      </c>
      <c r="C18" s="71" t="s">
        <v>55</v>
      </c>
      <c r="D18" s="22" t="s">
        <v>50</v>
      </c>
      <c r="E18" s="23">
        <v>2</v>
      </c>
      <c r="F18"/>
      <c r="G18" s="74">
        <v>6018</v>
      </c>
      <c r="H18" s="22"/>
      <c r="I18" s="22"/>
      <c r="J18" s="22"/>
      <c r="K18" s="53"/>
      <c r="L18" s="63"/>
      <c r="M18" s="57"/>
      <c r="N18" s="55"/>
      <c r="O18" s="48"/>
      <c r="P18" s="56"/>
      <c r="Q18" s="48"/>
    </row>
    <row r="19" spans="1:17" s="1" customFormat="1" ht="124.5" customHeight="1" x14ac:dyDescent="0.25">
      <c r="A19" s="19"/>
      <c r="B19" s="22">
        <v>11</v>
      </c>
      <c r="C19" s="71" t="s">
        <v>55</v>
      </c>
      <c r="D19" s="22" t="s">
        <v>36</v>
      </c>
      <c r="E19" s="22">
        <v>1</v>
      </c>
      <c r="F19" s="50"/>
      <c r="G19" s="75">
        <v>7047</v>
      </c>
      <c r="H19" s="22"/>
      <c r="I19" s="22"/>
      <c r="J19" s="22"/>
      <c r="K19" s="53"/>
      <c r="L19" s="63"/>
      <c r="M19" s="57"/>
      <c r="N19" s="55"/>
      <c r="O19" s="48"/>
      <c r="P19" s="56"/>
      <c r="Q19" s="48"/>
    </row>
    <row r="20" spans="1:17" s="1" customFormat="1" ht="124.5" customHeight="1" thickBot="1" x14ac:dyDescent="0.3">
      <c r="A20" s="19"/>
      <c r="B20" s="22">
        <v>12</v>
      </c>
      <c r="C20" s="71" t="s">
        <v>57</v>
      </c>
      <c r="D20" s="22" t="s">
        <v>56</v>
      </c>
      <c r="E20" s="22">
        <v>2</v>
      </c>
      <c r="F20"/>
      <c r="G20" s="75">
        <v>7047</v>
      </c>
      <c r="H20" s="22"/>
      <c r="I20" s="22"/>
      <c r="J20" s="22"/>
      <c r="K20" s="53"/>
      <c r="L20" s="63"/>
      <c r="M20" s="57"/>
      <c r="N20" s="55"/>
      <c r="O20" s="48"/>
      <c r="P20" s="56"/>
      <c r="Q20" s="48"/>
    </row>
    <row r="21" spans="1:17" s="1" customFormat="1" ht="29.25" customHeight="1" thickBot="1" x14ac:dyDescent="0.3">
      <c r="A21" s="19"/>
      <c r="B21" s="103" t="s">
        <v>58</v>
      </c>
      <c r="C21" s="104"/>
      <c r="D21" s="104"/>
      <c r="E21" s="104"/>
      <c r="F21" s="104"/>
      <c r="G21" s="104"/>
      <c r="H21" s="104"/>
      <c r="I21" s="104"/>
      <c r="J21" s="104"/>
      <c r="K21" s="105"/>
      <c r="L21" s="63"/>
      <c r="M21" s="57"/>
      <c r="N21" s="55"/>
      <c r="O21" s="48"/>
      <c r="P21" s="56"/>
      <c r="Q21" s="48"/>
    </row>
    <row r="22" spans="1:17" s="1" customFormat="1" ht="124.5" customHeight="1" thickBot="1" x14ac:dyDescent="0.3">
      <c r="A22" s="19"/>
      <c r="B22" s="22">
        <v>13</v>
      </c>
      <c r="C22" s="71" t="s">
        <v>59</v>
      </c>
      <c r="D22" s="22" t="s">
        <v>60</v>
      </c>
      <c r="E22" s="22">
        <v>1</v>
      </c>
      <c r="F22"/>
      <c r="G22" s="87" t="s">
        <v>61</v>
      </c>
      <c r="H22" s="22"/>
      <c r="I22" s="22"/>
      <c r="J22" s="22"/>
      <c r="K22" s="53"/>
      <c r="L22" s="63"/>
      <c r="M22" s="57"/>
      <c r="N22" s="55"/>
      <c r="O22" s="48"/>
      <c r="P22" s="56"/>
      <c r="Q22" s="48"/>
    </row>
    <row r="23" spans="1:17" s="1" customFormat="1" ht="26.25" customHeight="1" thickBot="1" x14ac:dyDescent="0.3">
      <c r="A23" s="19"/>
      <c r="B23" s="103" t="s">
        <v>62</v>
      </c>
      <c r="C23" s="104"/>
      <c r="D23" s="104"/>
      <c r="E23" s="104"/>
      <c r="F23" s="104"/>
      <c r="G23" s="104"/>
      <c r="H23" s="104"/>
      <c r="I23" s="104"/>
      <c r="J23" s="104"/>
      <c r="K23" s="105"/>
      <c r="L23" s="63"/>
      <c r="M23" s="57"/>
      <c r="N23" s="55"/>
      <c r="O23" s="48"/>
      <c r="P23" s="56"/>
      <c r="Q23" s="48"/>
    </row>
    <row r="24" spans="1:17" s="1" customFormat="1" ht="124.5" customHeight="1" x14ac:dyDescent="0.25">
      <c r="A24" s="19"/>
      <c r="B24" s="23">
        <v>14</v>
      </c>
      <c r="C24" s="84" t="s">
        <v>66</v>
      </c>
      <c r="D24" s="23" t="s">
        <v>65</v>
      </c>
      <c r="E24" s="23">
        <v>2</v>
      </c>
      <c r="F24" s="90"/>
      <c r="G24" s="85">
        <v>6018</v>
      </c>
      <c r="H24" s="23"/>
      <c r="I24" s="23"/>
      <c r="J24" s="23"/>
      <c r="K24" s="86"/>
      <c r="L24" s="63"/>
      <c r="M24" s="57"/>
      <c r="N24" s="55"/>
      <c r="O24" s="48"/>
      <c r="P24" s="56"/>
      <c r="Q24" s="48"/>
    </row>
    <row r="25" spans="1:17" s="1" customFormat="1" ht="141" customHeight="1" x14ac:dyDescent="0.25">
      <c r="A25" s="19"/>
      <c r="B25" s="22">
        <v>15</v>
      </c>
      <c r="C25" s="71" t="s">
        <v>67</v>
      </c>
      <c r="D25" s="22" t="s">
        <v>64</v>
      </c>
      <c r="E25" s="22">
        <v>2</v>
      </c>
      <c r="F25" s="50"/>
      <c r="G25" s="75">
        <v>7047</v>
      </c>
      <c r="H25" s="22"/>
      <c r="I25" s="22"/>
      <c r="J25" s="22"/>
      <c r="K25" s="72"/>
      <c r="L25" s="63">
        <f t="shared" si="1"/>
        <v>0</v>
      </c>
      <c r="M25" s="52" t="s">
        <v>26</v>
      </c>
      <c r="N25" s="55">
        <v>4</v>
      </c>
      <c r="O25" s="48">
        <f t="shared" si="4"/>
        <v>8</v>
      </c>
      <c r="P25" s="56"/>
      <c r="Q25" s="48">
        <f t="shared" si="3"/>
        <v>0</v>
      </c>
    </row>
    <row r="26" spans="1:17" s="1" customFormat="1" ht="141" customHeight="1" thickBot="1" x14ac:dyDescent="0.3">
      <c r="A26" s="19"/>
      <c r="B26" s="37">
        <v>16</v>
      </c>
      <c r="C26" s="91" t="s">
        <v>68</v>
      </c>
      <c r="D26" s="37" t="s">
        <v>63</v>
      </c>
      <c r="E26" s="37">
        <v>2</v>
      </c>
      <c r="F26" s="92"/>
      <c r="G26" s="96">
        <v>7047</v>
      </c>
      <c r="H26" s="37"/>
      <c r="I26" s="37"/>
      <c r="J26" s="37"/>
      <c r="K26" s="94"/>
      <c r="L26" s="63"/>
      <c r="M26" s="52"/>
      <c r="N26" s="55"/>
      <c r="O26" s="48"/>
      <c r="P26" s="56"/>
      <c r="Q26" s="48"/>
    </row>
    <row r="27" spans="1:17" s="1" customFormat="1" ht="26.25" customHeight="1" thickBot="1" x14ac:dyDescent="0.3">
      <c r="A27" s="120" t="s">
        <v>69</v>
      </c>
      <c r="B27" s="121"/>
      <c r="C27" s="121"/>
      <c r="D27" s="121"/>
      <c r="E27" s="121"/>
      <c r="F27" s="121"/>
      <c r="G27" s="121"/>
      <c r="H27" s="121"/>
      <c r="I27" s="121"/>
      <c r="J27" s="121"/>
      <c r="K27" s="122"/>
      <c r="L27" s="63"/>
      <c r="M27" s="52"/>
      <c r="N27" s="55"/>
      <c r="O27" s="48"/>
      <c r="P27" s="56"/>
      <c r="Q27" s="48"/>
    </row>
    <row r="28" spans="1:17" s="1" customFormat="1" ht="141" customHeight="1" x14ac:dyDescent="0.25">
      <c r="A28" s="19"/>
      <c r="B28" s="23">
        <v>17</v>
      </c>
      <c r="C28" s="84" t="s">
        <v>73</v>
      </c>
      <c r="D28" s="23" t="s">
        <v>71</v>
      </c>
      <c r="E28" s="23">
        <v>3</v>
      </c>
      <c r="F28" s="90"/>
      <c r="G28" s="97" t="s">
        <v>70</v>
      </c>
      <c r="H28" s="23"/>
      <c r="I28" s="23"/>
      <c r="J28" s="23"/>
      <c r="K28" s="98"/>
      <c r="L28" s="63"/>
      <c r="M28" s="52"/>
      <c r="N28" s="55"/>
      <c r="O28" s="48"/>
      <c r="P28" s="56"/>
      <c r="Q28" s="48"/>
    </row>
    <row r="29" spans="1:17" s="1" customFormat="1" ht="141" customHeight="1" x14ac:dyDescent="0.25">
      <c r="A29" s="19"/>
      <c r="B29" s="22">
        <v>18</v>
      </c>
      <c r="C29" s="71" t="s">
        <v>74</v>
      </c>
      <c r="D29" s="22" t="s">
        <v>72</v>
      </c>
      <c r="E29" s="22">
        <v>2</v>
      </c>
      <c r="F29" s="50"/>
      <c r="G29" s="74">
        <v>6018</v>
      </c>
      <c r="H29" s="22"/>
      <c r="I29" s="22"/>
      <c r="J29" s="22"/>
      <c r="K29" s="72"/>
      <c r="L29" s="63"/>
      <c r="M29" s="52"/>
      <c r="N29" s="55"/>
      <c r="O29" s="48"/>
      <c r="P29" s="56"/>
      <c r="Q29" s="48"/>
    </row>
    <row r="30" spans="1:17" s="1" customFormat="1" ht="42.75" customHeight="1" x14ac:dyDescent="0.25">
      <c r="A30" s="19"/>
      <c r="B30" s="88">
        <v>19</v>
      </c>
      <c r="C30" s="71"/>
      <c r="D30" s="22" t="s">
        <v>75</v>
      </c>
      <c r="E30" s="22">
        <v>3</v>
      </c>
      <c r="F30" s="50"/>
      <c r="G30" s="65">
        <v>8014</v>
      </c>
      <c r="H30" s="22"/>
      <c r="I30" s="22"/>
      <c r="J30" s="22"/>
      <c r="K30" s="72"/>
      <c r="L30" s="63"/>
      <c r="M30" s="52"/>
      <c r="N30" s="55"/>
      <c r="O30" s="48"/>
      <c r="P30" s="56"/>
      <c r="Q30" s="48"/>
    </row>
    <row r="31" spans="1:17" s="1" customFormat="1" ht="104.25" customHeight="1" x14ac:dyDescent="0.25">
      <c r="A31" s="19"/>
      <c r="B31" s="22">
        <v>20</v>
      </c>
      <c r="C31" s="71" t="s">
        <v>77</v>
      </c>
      <c r="D31" s="22" t="s">
        <v>76</v>
      </c>
      <c r="E31" s="22">
        <v>2</v>
      </c>
      <c r="F31" s="50"/>
      <c r="G31" s="73">
        <v>2008</v>
      </c>
      <c r="H31" s="22"/>
      <c r="I31" s="22"/>
      <c r="J31" s="22"/>
      <c r="K31" s="72"/>
      <c r="L31" s="63"/>
      <c r="M31" s="52"/>
      <c r="N31" s="55"/>
      <c r="O31" s="48"/>
      <c r="P31" s="56"/>
      <c r="Q31" s="48"/>
    </row>
    <row r="32" spans="1:17" s="1" customFormat="1" ht="141" customHeight="1" thickBot="1" x14ac:dyDescent="0.3">
      <c r="A32" s="19"/>
      <c r="B32" s="88">
        <v>21</v>
      </c>
      <c r="C32" s="91" t="s">
        <v>77</v>
      </c>
      <c r="D32" s="37" t="s">
        <v>76</v>
      </c>
      <c r="E32" s="37">
        <v>2</v>
      </c>
      <c r="F32" s="92"/>
      <c r="G32" s="93">
        <v>6018</v>
      </c>
      <c r="H32" s="37"/>
      <c r="I32" s="37"/>
      <c r="J32" s="37"/>
      <c r="K32" s="94"/>
      <c r="L32" s="63"/>
      <c r="M32" s="52"/>
      <c r="N32" s="55"/>
      <c r="O32" s="48"/>
      <c r="P32" s="56"/>
      <c r="Q32" s="48"/>
    </row>
    <row r="33" spans="1:22" s="1" customFormat="1" ht="20.25" customHeight="1" thickBot="1" x14ac:dyDescent="0.25">
      <c r="A33" s="13"/>
      <c r="B33" s="100" t="s">
        <v>11</v>
      </c>
      <c r="C33" s="101"/>
      <c r="D33" s="101"/>
      <c r="E33" s="101"/>
      <c r="F33" s="101"/>
      <c r="G33" s="101"/>
      <c r="H33" s="101"/>
      <c r="I33" s="101"/>
      <c r="J33" s="101"/>
      <c r="K33" s="102"/>
      <c r="L33" s="63">
        <f t="shared" si="1"/>
        <v>0</v>
      </c>
      <c r="M33" s="58"/>
      <c r="N33" s="48"/>
      <c r="O33" s="48">
        <f t="shared" si="4"/>
        <v>0</v>
      </c>
      <c r="P33" s="48"/>
      <c r="Q33" s="48">
        <f t="shared" si="3"/>
        <v>0</v>
      </c>
    </row>
    <row r="34" spans="1:22" ht="144.75" customHeight="1" x14ac:dyDescent="0.25">
      <c r="A34" s="14"/>
      <c r="B34" s="23">
        <v>22</v>
      </c>
      <c r="C34" s="23" t="s">
        <v>79</v>
      </c>
      <c r="D34" s="23" t="s">
        <v>78</v>
      </c>
      <c r="E34" s="23">
        <v>4</v>
      </c>
      <c r="F34" s="125"/>
      <c r="G34" s="95">
        <v>7047</v>
      </c>
      <c r="H34" s="23">
        <v>0.18</v>
      </c>
      <c r="I34" s="23">
        <v>2.1000000000000001E-2</v>
      </c>
      <c r="J34" s="23">
        <v>2.1000000000000001E-2</v>
      </c>
      <c r="K34" s="86">
        <f>H34*I34*J34</f>
        <v>7.9380000000000002E-5</v>
      </c>
      <c r="L34" s="63">
        <f t="shared" si="1"/>
        <v>3.1752000000000001E-4</v>
      </c>
      <c r="M34" s="52" t="s">
        <v>26</v>
      </c>
      <c r="N34" s="59">
        <v>4</v>
      </c>
      <c r="O34" s="48">
        <f t="shared" si="4"/>
        <v>16</v>
      </c>
      <c r="P34" s="51"/>
      <c r="Q34" s="48">
        <f t="shared" si="3"/>
        <v>0</v>
      </c>
    </row>
    <row r="35" spans="1:22" ht="144.75" customHeight="1" x14ac:dyDescent="0.25">
      <c r="A35" s="89"/>
      <c r="B35" s="22">
        <v>23</v>
      </c>
      <c r="C35" s="22" t="s">
        <v>79</v>
      </c>
      <c r="D35" s="22" t="s">
        <v>80</v>
      </c>
      <c r="E35" s="22">
        <v>2</v>
      </c>
      <c r="F35" s="126"/>
      <c r="G35" s="75">
        <v>7047</v>
      </c>
      <c r="H35" s="22">
        <v>0.96</v>
      </c>
      <c r="I35" s="22">
        <v>2.1000000000000001E-2</v>
      </c>
      <c r="J35" s="22">
        <v>2.1000000000000001E-2</v>
      </c>
      <c r="K35" s="53">
        <f>H35*I35*J35</f>
        <v>4.2336000000000007E-4</v>
      </c>
      <c r="L35" s="63"/>
      <c r="M35" s="52"/>
      <c r="N35" s="59"/>
      <c r="O35" s="48"/>
      <c r="P35" s="51"/>
      <c r="Q35" s="48"/>
    </row>
    <row r="36" spans="1:22" ht="84.75" customHeight="1" x14ac:dyDescent="0.25">
      <c r="A36" s="89"/>
      <c r="B36" s="23">
        <v>24</v>
      </c>
      <c r="C36" s="123" t="s">
        <v>83</v>
      </c>
      <c r="D36" s="127" t="s">
        <v>84</v>
      </c>
      <c r="E36" s="23">
        <v>1</v>
      </c>
      <c r="F36" s="124"/>
      <c r="G36" s="128">
        <v>7047</v>
      </c>
      <c r="H36" s="37"/>
      <c r="I36" s="37"/>
      <c r="J36" s="37"/>
      <c r="K36" s="99"/>
      <c r="L36" s="63"/>
      <c r="M36" s="52"/>
      <c r="N36" s="59"/>
      <c r="O36" s="48"/>
      <c r="P36" s="51"/>
      <c r="Q36" s="48"/>
    </row>
    <row r="37" spans="1:22" ht="144.75" customHeight="1" thickBot="1" x14ac:dyDescent="0.3">
      <c r="A37" s="89"/>
      <c r="B37" s="22">
        <v>25</v>
      </c>
      <c r="C37" s="37" t="s">
        <v>82</v>
      </c>
      <c r="D37" s="37" t="s">
        <v>81</v>
      </c>
      <c r="E37" s="37">
        <v>20</v>
      </c>
      <c r="F37" s="129"/>
      <c r="G37" s="96">
        <v>7047</v>
      </c>
      <c r="H37" s="37"/>
      <c r="I37" s="37"/>
      <c r="J37" s="37"/>
      <c r="K37" s="99"/>
      <c r="L37" s="63"/>
      <c r="M37" s="52"/>
      <c r="N37" s="59"/>
      <c r="O37" s="48"/>
      <c r="P37" s="51"/>
      <c r="Q37" s="48"/>
    </row>
    <row r="38" spans="1:22" s="1" customFormat="1" ht="20.25" customHeight="1" thickBot="1" x14ac:dyDescent="0.25">
      <c r="A38" s="13"/>
      <c r="B38" s="100" t="s">
        <v>20</v>
      </c>
      <c r="C38" s="101"/>
      <c r="D38" s="101"/>
      <c r="E38" s="101"/>
      <c r="F38" s="101"/>
      <c r="G38" s="101"/>
      <c r="H38" s="101"/>
      <c r="I38" s="101"/>
      <c r="J38" s="101"/>
      <c r="K38" s="102"/>
      <c r="L38" s="63">
        <f t="shared" si="1"/>
        <v>0</v>
      </c>
      <c r="M38" s="58"/>
      <c r="N38" s="48"/>
      <c r="O38" s="48">
        <f t="shared" si="4"/>
        <v>0</v>
      </c>
      <c r="P38" s="48"/>
      <c r="Q38" s="48">
        <f t="shared" si="3"/>
        <v>0</v>
      </c>
    </row>
    <row r="39" spans="1:22" ht="65.25" customHeight="1" x14ac:dyDescent="0.25">
      <c r="A39" s="20"/>
      <c r="B39" s="39">
        <v>26</v>
      </c>
      <c r="C39" s="26" t="s">
        <v>31</v>
      </c>
      <c r="D39" s="26" t="s">
        <v>21</v>
      </c>
      <c r="E39" s="41">
        <v>116</v>
      </c>
      <c r="F39" s="40"/>
      <c r="G39" s="41" t="s">
        <v>19</v>
      </c>
      <c r="H39" s="41">
        <v>2.7E-2</v>
      </c>
      <c r="I39" s="41">
        <v>2.7E-2</v>
      </c>
      <c r="J39" s="41">
        <v>1.6E-2</v>
      </c>
      <c r="K39" s="42">
        <f>H39*I39*J39</f>
        <v>1.1663999999999999E-5</v>
      </c>
      <c r="L39" s="63">
        <f t="shared" si="1"/>
        <v>1.3530239999999998E-3</v>
      </c>
      <c r="M39" s="60"/>
      <c r="N39" s="59"/>
      <c r="O39" s="48">
        <f t="shared" si="4"/>
        <v>0</v>
      </c>
      <c r="P39" s="51"/>
      <c r="Q39" s="48">
        <f t="shared" si="3"/>
        <v>0</v>
      </c>
    </row>
    <row r="40" spans="1:22" ht="66.75" customHeight="1" thickBot="1" x14ac:dyDescent="0.3">
      <c r="A40" s="15"/>
      <c r="B40" s="8">
        <v>27</v>
      </c>
      <c r="C40" s="66" t="s">
        <v>32</v>
      </c>
      <c r="D40" s="66" t="s">
        <v>22</v>
      </c>
      <c r="E40" s="26">
        <v>220</v>
      </c>
      <c r="F40" s="30"/>
      <c r="G40" s="26" t="s">
        <v>19</v>
      </c>
      <c r="H40" s="26">
        <v>3.5999999999999997E-2</v>
      </c>
      <c r="I40" s="26">
        <v>3.5999999999999997E-2</v>
      </c>
      <c r="J40" s="26">
        <v>2.3E-2</v>
      </c>
      <c r="K40" s="27">
        <v>2.9807999999999996E-5</v>
      </c>
      <c r="L40" s="63">
        <f t="shared" si="1"/>
        <v>6.5577599999999993E-3</v>
      </c>
      <c r="M40" s="60"/>
      <c r="N40" s="51"/>
      <c r="O40" s="48">
        <f t="shared" si="4"/>
        <v>0</v>
      </c>
      <c r="P40" s="51"/>
      <c r="Q40" s="48">
        <f t="shared" si="3"/>
        <v>0</v>
      </c>
    </row>
    <row r="41" spans="1:22" ht="66.75" customHeight="1" thickBot="1" x14ac:dyDescent="0.3">
      <c r="A41" s="31"/>
      <c r="B41" s="9">
        <v>28</v>
      </c>
      <c r="C41" s="67" t="s">
        <v>33</v>
      </c>
      <c r="D41" s="67" t="s">
        <v>23</v>
      </c>
      <c r="E41" s="67">
        <v>4</v>
      </c>
      <c r="F41" s="68"/>
      <c r="G41" s="28" t="s">
        <v>19</v>
      </c>
      <c r="H41" s="28">
        <v>0.1</v>
      </c>
      <c r="I41" s="28">
        <v>0.1</v>
      </c>
      <c r="J41" s="28">
        <v>4.3999999999999997E-2</v>
      </c>
      <c r="K41" s="29">
        <v>3.5639999999999994E-4</v>
      </c>
      <c r="L41" s="63">
        <f t="shared" si="1"/>
        <v>1.4255999999999997E-3</v>
      </c>
      <c r="M41" s="60"/>
      <c r="N41" s="50"/>
      <c r="O41" s="48">
        <f t="shared" si="4"/>
        <v>0</v>
      </c>
      <c r="P41" s="50"/>
      <c r="Q41" s="48">
        <f t="shared" si="3"/>
        <v>0</v>
      </c>
      <c r="V41" s="24"/>
    </row>
    <row r="42" spans="1:22" x14ac:dyDescent="0.25">
      <c r="L42" s="4">
        <f>SUM(L7:L41)</f>
        <v>0.11565390399999999</v>
      </c>
      <c r="O42">
        <f>SUM(O10:O41)</f>
        <v>80</v>
      </c>
      <c r="Q42">
        <f>SUM(Q10:Q41)</f>
        <v>18</v>
      </c>
    </row>
  </sheetData>
  <mergeCells count="11">
    <mergeCell ref="B38:K38"/>
    <mergeCell ref="B13:K13"/>
    <mergeCell ref="B33:K33"/>
    <mergeCell ref="A1:K1"/>
    <mergeCell ref="B6:K6"/>
    <mergeCell ref="B2:K2"/>
    <mergeCell ref="B3:K4"/>
    <mergeCell ref="B11:K11"/>
    <mergeCell ref="B21:K21"/>
    <mergeCell ref="B23:K23"/>
    <mergeCell ref="A27:K27"/>
  </mergeCells>
  <phoneticPr fontId="17" type="noConversion"/>
  <pageMargins left="0.70866141732283472" right="0.70866141732283472" top="0.74803149606299213" bottom="0.74803149606299213" header="0.31496062992125984" footer="0.31496062992125984"/>
  <pageSetup paperSize="9" scale="40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Reanimator Extreme 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Евгения</dc:creator>
  <cp:lastModifiedBy>111</cp:lastModifiedBy>
  <cp:lastPrinted>2025-07-21T08:21:50Z</cp:lastPrinted>
  <dcterms:created xsi:type="dcterms:W3CDTF">2017-04-27T07:18:00Z</dcterms:created>
  <dcterms:modified xsi:type="dcterms:W3CDTF">2026-07-06T05:51:12Z</dcterms:modified>
</cp:coreProperties>
</file>