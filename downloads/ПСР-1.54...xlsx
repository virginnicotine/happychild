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F1605F3E-A5A9-4ADD-9099-3527CD7891F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Спецификация" sheetId="4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4" l="1"/>
  <c r="AH26" i="4"/>
  <c r="AF26" i="4"/>
  <c r="AD26" i="4"/>
  <c r="AB26" i="4"/>
  <c r="Z26" i="4"/>
  <c r="X26" i="4"/>
  <c r="V26" i="4"/>
  <c r="T26" i="4"/>
  <c r="R26" i="4"/>
  <c r="P26" i="4"/>
  <c r="K26" i="4"/>
  <c r="L26" i="4" s="1"/>
  <c r="M26" i="4" s="1"/>
  <c r="AJ25" i="4"/>
  <c r="AH25" i="4"/>
  <c r="AF25" i="4"/>
  <c r="AD25" i="4"/>
  <c r="AB25" i="4"/>
  <c r="Z25" i="4"/>
  <c r="X25" i="4"/>
  <c r="V25" i="4"/>
  <c r="T25" i="4"/>
  <c r="R25" i="4"/>
  <c r="P25" i="4"/>
  <c r="K25" i="4"/>
  <c r="L25" i="4" s="1"/>
  <c r="M25" i="4" s="1"/>
  <c r="AJ24" i="4"/>
  <c r="AH24" i="4"/>
  <c r="AF24" i="4"/>
  <c r="AD24" i="4"/>
  <c r="AB24" i="4"/>
  <c r="Z24" i="4"/>
  <c r="X24" i="4"/>
  <c r="V24" i="4"/>
  <c r="T24" i="4"/>
  <c r="R24" i="4"/>
  <c r="P24" i="4"/>
  <c r="K24" i="4"/>
  <c r="L24" i="4" s="1"/>
  <c r="AJ23" i="4"/>
  <c r="AH23" i="4"/>
  <c r="AF23" i="4"/>
  <c r="AD23" i="4"/>
  <c r="AB23" i="4"/>
  <c r="Z23" i="4"/>
  <c r="X23" i="4"/>
  <c r="V23" i="4"/>
  <c r="T23" i="4"/>
  <c r="R23" i="4"/>
  <c r="P23" i="4"/>
  <c r="K23" i="4"/>
  <c r="L23" i="4" s="1"/>
  <c r="AJ22" i="4"/>
  <c r="AH22" i="4"/>
  <c r="AF22" i="4"/>
  <c r="AD22" i="4"/>
  <c r="AB22" i="4"/>
  <c r="Z22" i="4"/>
  <c r="X22" i="4"/>
  <c r="V22" i="4"/>
  <c r="T22" i="4"/>
  <c r="R22" i="4"/>
  <c r="P22" i="4"/>
  <c r="K22" i="4"/>
  <c r="L22" i="4" s="1"/>
  <c r="AJ21" i="4"/>
  <c r="AH21" i="4"/>
  <c r="AF21" i="4"/>
  <c r="AD21" i="4"/>
  <c r="AB21" i="4"/>
  <c r="Z21" i="4"/>
  <c r="X21" i="4"/>
  <c r="V21" i="4"/>
  <c r="T21" i="4"/>
  <c r="R21" i="4"/>
  <c r="P21" i="4"/>
  <c r="K21" i="4"/>
  <c r="L21" i="4" s="1"/>
  <c r="AJ20" i="4"/>
  <c r="AH20" i="4"/>
  <c r="AF20" i="4"/>
  <c r="AD20" i="4"/>
  <c r="AB20" i="4"/>
  <c r="Z20" i="4"/>
  <c r="X20" i="4"/>
  <c r="V20" i="4"/>
  <c r="T20" i="4"/>
  <c r="R20" i="4"/>
  <c r="P20" i="4"/>
  <c r="K20" i="4"/>
  <c r="L20" i="4" s="1"/>
  <c r="AJ19" i="4"/>
  <c r="AH19" i="4"/>
  <c r="AF19" i="4"/>
  <c r="AD19" i="4"/>
  <c r="AB19" i="4"/>
  <c r="Z19" i="4"/>
  <c r="X19" i="4"/>
  <c r="V19" i="4"/>
  <c r="T19" i="4"/>
  <c r="R19" i="4"/>
  <c r="P19" i="4"/>
  <c r="K19" i="4"/>
  <c r="L19" i="4" s="1"/>
  <c r="AJ18" i="4"/>
  <c r="AH18" i="4"/>
  <c r="AF18" i="4"/>
  <c r="AD18" i="4"/>
  <c r="AB18" i="4"/>
  <c r="Z18" i="4"/>
  <c r="X18" i="4"/>
  <c r="V18" i="4"/>
  <c r="T18" i="4"/>
  <c r="R18" i="4"/>
  <c r="P18" i="4"/>
  <c r="K18" i="4"/>
  <c r="L18" i="4" s="1"/>
  <c r="AJ17" i="4"/>
  <c r="AH17" i="4"/>
  <c r="AF17" i="4"/>
  <c r="AD17" i="4"/>
  <c r="AB17" i="4"/>
  <c r="Z17" i="4"/>
  <c r="X17" i="4"/>
  <c r="V17" i="4"/>
  <c r="T17" i="4"/>
  <c r="R17" i="4"/>
  <c r="P17" i="4"/>
  <c r="K17" i="4"/>
  <c r="L17" i="4" s="1"/>
  <c r="AJ16" i="4"/>
  <c r="AH16" i="4"/>
  <c r="AF16" i="4"/>
  <c r="AD16" i="4"/>
  <c r="AB16" i="4"/>
  <c r="Z16" i="4"/>
  <c r="X16" i="4"/>
  <c r="V16" i="4"/>
  <c r="T16" i="4"/>
  <c r="R16" i="4"/>
  <c r="P16" i="4"/>
  <c r="K16" i="4"/>
  <c r="L16" i="4" s="1"/>
  <c r="AJ15" i="4"/>
  <c r="AH15" i="4"/>
  <c r="AF15" i="4"/>
  <c r="AD15" i="4"/>
  <c r="AB15" i="4"/>
  <c r="Z15" i="4"/>
  <c r="X15" i="4"/>
  <c r="V15" i="4"/>
  <c r="T15" i="4"/>
  <c r="R15" i="4"/>
  <c r="P15" i="4"/>
  <c r="K15" i="4"/>
  <c r="L15" i="4" s="1"/>
  <c r="AJ14" i="4"/>
  <c r="AH14" i="4"/>
  <c r="AF14" i="4"/>
  <c r="AD14" i="4"/>
  <c r="AB14" i="4"/>
  <c r="Z14" i="4"/>
  <c r="X14" i="4"/>
  <c r="V14" i="4"/>
  <c r="T14" i="4"/>
  <c r="R14" i="4"/>
  <c r="P14" i="4"/>
  <c r="K14" i="4"/>
  <c r="L14" i="4" s="1"/>
  <c r="AJ13" i="4"/>
  <c r="AH13" i="4"/>
  <c r="AF13" i="4"/>
  <c r="AD13" i="4"/>
  <c r="AB13" i="4"/>
  <c r="Z13" i="4"/>
  <c r="X13" i="4"/>
  <c r="V13" i="4"/>
  <c r="T13" i="4"/>
  <c r="R13" i="4"/>
  <c r="P13" i="4"/>
  <c r="K13" i="4"/>
  <c r="L13" i="4" s="1"/>
  <c r="AJ12" i="4"/>
  <c r="AH12" i="4"/>
  <c r="AF12" i="4"/>
  <c r="AD12" i="4"/>
  <c r="AB12" i="4"/>
  <c r="Z12" i="4"/>
  <c r="X12" i="4"/>
  <c r="V12" i="4"/>
  <c r="T12" i="4"/>
  <c r="R12" i="4"/>
  <c r="P12" i="4"/>
  <c r="K12" i="4"/>
  <c r="L12" i="4" s="1"/>
  <c r="AJ11" i="4"/>
  <c r="AH11" i="4"/>
  <c r="AF11" i="4"/>
  <c r="AD11" i="4"/>
  <c r="AB11" i="4"/>
  <c r="Z11" i="4"/>
  <c r="X11" i="4"/>
  <c r="V11" i="4"/>
  <c r="T11" i="4"/>
  <c r="R11" i="4"/>
  <c r="P11" i="4"/>
  <c r="K11" i="4"/>
  <c r="L11" i="4" s="1"/>
  <c r="AJ10" i="4"/>
  <c r="AH10" i="4"/>
  <c r="AF10" i="4"/>
  <c r="AD10" i="4"/>
  <c r="AB10" i="4"/>
  <c r="Z10" i="4"/>
  <c r="X10" i="4"/>
  <c r="V10" i="4"/>
  <c r="T10" i="4"/>
  <c r="R10" i="4"/>
  <c r="P10" i="4"/>
  <c r="K10" i="4"/>
  <c r="L10" i="4" s="1"/>
  <c r="K7" i="4"/>
  <c r="L7" i="4" s="1"/>
  <c r="K6" i="4"/>
  <c r="L6" i="4" s="1"/>
  <c r="K5" i="4" l="1"/>
  <c r="L5" i="4" s="1"/>
  <c r="AB8" i="4"/>
  <c r="Z8" i="4"/>
  <c r="X8" i="4"/>
  <c r="V8" i="4"/>
  <c r="T8" i="4"/>
  <c r="R8" i="4"/>
  <c r="P8" i="4"/>
  <c r="AB28" i="4" l="1"/>
  <c r="R28" i="4"/>
  <c r="P28" i="4"/>
  <c r="AJ9" i="4"/>
  <c r="AJ27" i="4"/>
  <c r="AJ28" i="4"/>
  <c r="AJ29" i="4"/>
  <c r="AJ30" i="4"/>
  <c r="AJ8" i="4"/>
  <c r="AH9" i="4"/>
  <c r="AH27" i="4"/>
  <c r="AH28" i="4"/>
  <c r="AH29" i="4"/>
  <c r="AH30" i="4"/>
  <c r="AF9" i="4"/>
  <c r="AF27" i="4"/>
  <c r="AF28" i="4"/>
  <c r="AF29" i="4"/>
  <c r="AF30" i="4"/>
  <c r="AD9" i="4"/>
  <c r="AD27" i="4"/>
  <c r="AD28" i="4"/>
  <c r="AD29" i="4"/>
  <c r="AD30" i="4"/>
  <c r="AB9" i="4"/>
  <c r="AB27" i="4"/>
  <c r="AB29" i="4"/>
  <c r="AB30" i="4"/>
  <c r="Z9" i="4"/>
  <c r="Z27" i="4"/>
  <c r="Z28" i="4"/>
  <c r="Z29" i="4"/>
  <c r="Z31" i="4" s="1"/>
  <c r="Z30" i="4"/>
  <c r="V9" i="4"/>
  <c r="V27" i="4"/>
  <c r="V28" i="4"/>
  <c r="V29" i="4"/>
  <c r="V30" i="4"/>
  <c r="T9" i="4"/>
  <c r="T27" i="4"/>
  <c r="T28" i="4"/>
  <c r="T29" i="4"/>
  <c r="T30" i="4"/>
  <c r="R9" i="4"/>
  <c r="R27" i="4"/>
  <c r="R29" i="4"/>
  <c r="R31" i="4" s="1"/>
  <c r="R30" i="4"/>
  <c r="P9" i="4"/>
  <c r="P27" i="4"/>
  <c r="P29" i="4"/>
  <c r="P30" i="4"/>
  <c r="AH8" i="4"/>
  <c r="AF8" i="4"/>
  <c r="AD8" i="4"/>
  <c r="X9" i="4"/>
  <c r="X27" i="4"/>
  <c r="X28" i="4"/>
  <c r="X29" i="4"/>
  <c r="X31" i="4" s="1"/>
  <c r="X30" i="4"/>
  <c r="P31" i="4" l="1"/>
  <c r="V31" i="4"/>
  <c r="AB31" i="4"/>
  <c r="T31" i="4"/>
  <c r="AD31" i="4"/>
  <c r="AH31" i="4"/>
  <c r="AF31" i="4"/>
  <c r="AJ31" i="4"/>
  <c r="K30" i="4"/>
  <c r="L30" i="4" s="1"/>
  <c r="M30" i="4" s="1"/>
  <c r="K29" i="4"/>
  <c r="L29" i="4" s="1"/>
  <c r="M29" i="4" s="1"/>
  <c r="L28" i="4"/>
  <c r="M28" i="4" s="1"/>
  <c r="K27" i="4"/>
  <c r="L27" i="4" s="1"/>
  <c r="M27" i="4" s="1"/>
  <c r="L9" i="4"/>
  <c r="M9" i="4" s="1"/>
  <c r="K8" i="4"/>
  <c r="L8" i="4" s="1"/>
</calcChain>
</file>

<file path=xl/sharedStrings.xml><?xml version="1.0" encoding="utf-8"?>
<sst xmlns="http://schemas.openxmlformats.org/spreadsheetml/2006/main" count="116" uniqueCount="104">
  <si>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</si>
  <si>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</si>
  <si>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</si>
  <si>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</si>
  <si>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</si>
  <si>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</si>
  <si>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</si>
  <si>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</si>
  <si>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</si>
  <si>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</si>
  <si>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Объем всего</t>
  </si>
  <si>
    <t>Цвет, RAL черный</t>
  </si>
  <si>
    <t>СТОЛБЫ</t>
  </si>
  <si>
    <t>ПАНЕЛИ</t>
  </si>
  <si>
    <t>Уголок крепежный 62х62 90гр.</t>
  </si>
  <si>
    <t>ПЛАСТИК</t>
  </si>
  <si>
    <t>Закладная для столба</t>
  </si>
  <si>
    <t>16</t>
  </si>
  <si>
    <t>17</t>
  </si>
  <si>
    <t>18</t>
  </si>
  <si>
    <t>19</t>
  </si>
  <si>
    <t>15</t>
  </si>
  <si>
    <t>0013МП</t>
  </si>
  <si>
    <t>0003МП</t>
  </si>
  <si>
    <t>поликарбонат прозрачный</t>
  </si>
  <si>
    <t>Шестеренка №1 (304х291)</t>
  </si>
  <si>
    <t>Шестеренка №2 (209х223)</t>
  </si>
  <si>
    <t>Счеты</t>
  </si>
  <si>
    <t>20</t>
  </si>
  <si>
    <t>21</t>
  </si>
  <si>
    <t>22</t>
  </si>
  <si>
    <t>23</t>
  </si>
  <si>
    <t>Накладка панели №2 Лесная поляна (612х673)</t>
  </si>
  <si>
    <t>Накладка ската крыши 2 Лесная поляна (763х795)</t>
  </si>
  <si>
    <t>Вставка ската крыши 2 Лесная поляна (743х775) (поликарбонат)</t>
  </si>
  <si>
    <t>Вставка панели №2 Лесная поляна (593х653) (поликарбонат)</t>
  </si>
  <si>
    <t>000041.П.15.0</t>
  </si>
  <si>
    <t>002050_П</t>
  </si>
  <si>
    <t>002063_П</t>
  </si>
  <si>
    <t>002064_П</t>
  </si>
  <si>
    <t>002065_П</t>
  </si>
  <si>
    <t>Болт мебельный М6х50</t>
  </si>
  <si>
    <t>Болт мебельный М6х60</t>
  </si>
  <si>
    <t>Болт мебельный М6х35</t>
  </si>
  <si>
    <t>Стандартные изделия</t>
  </si>
  <si>
    <t>Болт мебельный М6х70</t>
  </si>
  <si>
    <t>Шайба оц D8</t>
  </si>
  <si>
    <t>Гайка 6-гр оц М6</t>
  </si>
  <si>
    <t>Шуруп Глухарь 8х50</t>
  </si>
  <si>
    <t>Шуруп Глухарь 8х80</t>
  </si>
  <si>
    <t>10</t>
  </si>
  <si>
    <t>11</t>
  </si>
  <si>
    <t>12</t>
  </si>
  <si>
    <t>13</t>
  </si>
  <si>
    <t>14</t>
  </si>
  <si>
    <t>Вес, кг</t>
  </si>
  <si>
    <t>Метизы крепления на 1 комплектующую</t>
  </si>
  <si>
    <t>Гайка 6-гр оц М8</t>
  </si>
  <si>
    <t xml:space="preserve">Болт мебельный М6х35 - 2 шт.                               Шайба м8 увел. - 2 шт.                    Гайка м6 - 2 шт        </t>
  </si>
  <si>
    <t>Саморез 4,5х55</t>
  </si>
  <si>
    <t>Саморез 3,5х35</t>
  </si>
  <si>
    <t xml:space="preserve">Шуруп (глухарь) 8х80 - 2 шт.                         Шайба м8 увел. - 2 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</si>
  <si>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</si>
  <si>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8х80 - 5 шт.                         Шайба м8 увел. - 5 шт.                         </t>
  </si>
  <si>
    <t xml:space="preserve">Шуруп (глухарь) 8х80 - 6 шт.                         Шайба м8 увел. - 6 шт.                         </t>
  </si>
  <si>
    <t xml:space="preserve">Шуруп (глухарь) 8х50 - 3 шт.                         Шайба м8 увел. - 3шт.                         </t>
  </si>
  <si>
    <t>Брус 100х100х400</t>
  </si>
  <si>
    <t>0053ДБ</t>
  </si>
  <si>
    <t>ПСР-1.54.Н</t>
  </si>
  <si>
    <t>0188ДБ</t>
  </si>
  <si>
    <t>Брус 100х100х1550 (1 сторона 60 гр)</t>
  </si>
  <si>
    <t>0189ДБ</t>
  </si>
  <si>
    <t>Брус 100х100х1150 (1 сторона 60 гр)</t>
  </si>
  <si>
    <t>002161_П</t>
  </si>
  <si>
    <t>Скат крыши Лесная поляна ПСР-1.54 (1500х1155)</t>
  </si>
  <si>
    <t xml:space="preserve">Болт мебельный М6х50 - 6 шт.                               Шайба м8 увел. - 6 шт.                        Гайка м6 - 6 шт     </t>
  </si>
  <si>
    <t>001841М</t>
  </si>
  <si>
    <t>000168_П</t>
  </si>
  <si>
    <t>Фиксатор счет двойной (450)_ПНД</t>
  </si>
  <si>
    <t>Труба 21x600мм (под счеты)</t>
  </si>
  <si>
    <t>0058МП</t>
  </si>
  <si>
    <t>002162_П</t>
  </si>
  <si>
    <t>Панель песочницы ПСР-1.54 со вставкой (800х1220)</t>
  </si>
  <si>
    <t xml:space="preserve">Болт мебельный М6х50 - 1 шт.                               Шайба м8 увел. - 1 шт.                        Гайка м6 - 2  шт     </t>
  </si>
  <si>
    <t>001843М</t>
  </si>
  <si>
    <t>002163_П</t>
  </si>
  <si>
    <t>Борт песочницы ПСР-1.54 №1 (300х1600)</t>
  </si>
  <si>
    <t>002164_П</t>
  </si>
  <si>
    <t>Борт песочницы ПСР-1.54 №2 (300х1300)</t>
  </si>
  <si>
    <t>002165_П</t>
  </si>
  <si>
    <t>Борт песочницы ПСР-1.54 верхний с вырезами на 3 столба (1660х200)</t>
  </si>
  <si>
    <t>002166_П</t>
  </si>
  <si>
    <t>Борт песочницы ПСР-1.54 верхний с вырезами на 2 столба (1420х200)</t>
  </si>
  <si>
    <t>002167_П</t>
  </si>
  <si>
    <t>Стол песочницы ПСР-1.54 (1500х200)</t>
  </si>
  <si>
    <t>0597МП</t>
  </si>
  <si>
    <t xml:space="preserve">Перемычка 1100 мм для ПСР-1.54 </t>
  </si>
  <si>
    <t xml:space="preserve">Шуруп (глухарь) 8х50 - 2 шт.                         Шайба м8 увел. - 4 шт.                 
Болт мебельный М6х50 - 2 шт.                                                    Гайка м6 - 2 шт     </t>
  </si>
  <si>
    <t>Колпачок пластиковый составной М6-27</t>
  </si>
  <si>
    <t>Колпачок пластиковый составной М8-32,5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</si>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</sst>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  <font>
      <sz val="12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0" fontId="7" fillId="0" borderId="1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emf"/><Relationship Id="rId5" Type="http://schemas.openxmlformats.org/officeDocument/2006/relationships/image" Target="../media/image5.jpeg"/><Relationship Id="rId15" Type="http://schemas.openxmlformats.org/officeDocument/2006/relationships/image" Target="../media/image15.emf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28</xdr:row>
      <xdr:rowOff>40822</xdr:rowOff>
    </xdr:from>
    <xdr:to>
      <xdr:col>5</xdr:col>
      <xdr:colOff>1189598</xdr:colOff>
      <xdr:row>28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29</xdr:row>
      <xdr:rowOff>32339</xdr:rowOff>
    </xdr:from>
    <xdr:to>
      <xdr:col>5</xdr:col>
      <xdr:colOff>1229901</xdr:colOff>
      <xdr:row>29</xdr:row>
      <xdr:rowOff>837323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29716-CFFC-45C2-B4CB-9BE49E4A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81172639"/>
          <a:ext cx="829691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30</xdr:row>
      <xdr:rowOff>0</xdr:rowOff>
    </xdr:from>
    <xdr:to>
      <xdr:col>11</xdr:col>
      <xdr:colOff>12548</xdr:colOff>
      <xdr:row>30</xdr:row>
      <xdr:rowOff>240837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30</xdr:row>
      <xdr:rowOff>0</xdr:rowOff>
    </xdr:from>
    <xdr:to>
      <xdr:col>11</xdr:col>
      <xdr:colOff>12548</xdr:colOff>
      <xdr:row>30</xdr:row>
      <xdr:rowOff>240837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11800</xdr:colOff>
      <xdr:row>29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7</xdr:row>
      <xdr:rowOff>49257</xdr:rowOff>
    </xdr:from>
    <xdr:to>
      <xdr:col>5</xdr:col>
      <xdr:colOff>1169670</xdr:colOff>
      <xdr:row>7</xdr:row>
      <xdr:rowOff>387712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D473016-0F93-4C89-8042-7B27A60E4B61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r="-2703" b="47582"/>
        <a:stretch>
          <a:fillRect/>
        </a:stretch>
      </xdr:blipFill>
      <xdr:spPr bwMode="auto">
        <a:xfrm rot="16200000">
          <a:off x="6200775" y="9438367"/>
          <a:ext cx="341630" cy="854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429572</xdr:colOff>
      <xdr:row>26</xdr:row>
      <xdr:rowOff>31338</xdr:rowOff>
    </xdr:from>
    <xdr:to>
      <xdr:col>5</xdr:col>
      <xdr:colOff>1240312</xdr:colOff>
      <xdr:row>26</xdr:row>
      <xdr:rowOff>1003076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188E536E-B33C-43A5-A044-239B4B8B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6063754" y="77662974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8625</xdr:colOff>
      <xdr:row>31</xdr:row>
      <xdr:rowOff>55653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36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36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29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27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10" name="Picture 9">
          <a:extLst>
            <a:ext uri="{FF2B5EF4-FFF2-40B4-BE49-F238E27FC236}">
              <a16:creationId xmlns:a16="http://schemas.microsoft.com/office/drawing/2014/main" id="{54116B02-ED76-4F1E-9BCB-5EEE1939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12" name="Picture 9">
          <a:extLst>
            <a:ext uri="{FF2B5EF4-FFF2-40B4-BE49-F238E27FC236}">
              <a16:creationId xmlns:a16="http://schemas.microsoft.com/office/drawing/2014/main" id="{2F9E07D0-65AA-43A0-A7B2-F4E87211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13" name="Picture 9">
          <a:extLst>
            <a:ext uri="{FF2B5EF4-FFF2-40B4-BE49-F238E27FC236}">
              <a16:creationId xmlns:a16="http://schemas.microsoft.com/office/drawing/2014/main" id="{F6A67265-9BC0-4136-9697-6AE2D2AA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17" name="Picture 9">
          <a:extLst>
            <a:ext uri="{FF2B5EF4-FFF2-40B4-BE49-F238E27FC236}">
              <a16:creationId xmlns:a16="http://schemas.microsoft.com/office/drawing/2014/main" id="{6CF5F2F6-B110-4668-BE20-CDB3470F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19" name="Picture 9">
          <a:extLst>
            <a:ext uri="{FF2B5EF4-FFF2-40B4-BE49-F238E27FC236}">
              <a16:creationId xmlns:a16="http://schemas.microsoft.com/office/drawing/2014/main" id="{EDA1F8A9-BB94-4C31-BCF4-F2C39BE5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8</xdr:row>
      <xdr:rowOff>0</xdr:rowOff>
    </xdr:from>
    <xdr:ext cx="11800" cy="1236052"/>
    <xdr:pic>
      <xdr:nvPicPr>
        <xdr:cNvPr id="220" name="Picture 9">
          <a:extLst>
            <a:ext uri="{FF2B5EF4-FFF2-40B4-BE49-F238E27FC236}">
              <a16:creationId xmlns:a16="http://schemas.microsoft.com/office/drawing/2014/main" id="{84561001-BAD0-48F3-A3CF-145547DD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</xdr:col>
      <xdr:colOff>2193636</xdr:colOff>
      <xdr:row>1</xdr:row>
      <xdr:rowOff>103908</xdr:rowOff>
    </xdr:from>
    <xdr:to>
      <xdr:col>8</xdr:col>
      <xdr:colOff>150091</xdr:colOff>
      <xdr:row>1</xdr:row>
      <xdr:rowOff>4832926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9F06F15C-830B-482E-B9D3-4154ABED0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6" r="6726"/>
        <a:stretch/>
      </xdr:blipFill>
      <xdr:spPr>
        <a:xfrm>
          <a:off x="4121727" y="311726"/>
          <a:ext cx="5969000" cy="4729018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</xdr:row>
      <xdr:rowOff>138547</xdr:rowOff>
    </xdr:from>
    <xdr:to>
      <xdr:col>3</xdr:col>
      <xdr:colOff>2159001</xdr:colOff>
      <xdr:row>1</xdr:row>
      <xdr:rowOff>3071091</xdr:rowOff>
    </xdr:to>
    <xdr:pic>
      <xdr:nvPicPr>
        <xdr:cNvPr id="222" name="Рисунок 221">
          <a:extLst>
            <a:ext uri="{FF2B5EF4-FFF2-40B4-BE49-F238E27FC236}">
              <a16:creationId xmlns:a16="http://schemas.microsoft.com/office/drawing/2014/main" id="{3F634A79-5A0D-4D76-9C92-C40A925B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" b="234"/>
        <a:stretch/>
      </xdr:blipFill>
      <xdr:spPr>
        <a:xfrm>
          <a:off x="127000" y="346365"/>
          <a:ext cx="3960092" cy="2932544"/>
        </a:xfrm>
        <a:prstGeom prst="rect">
          <a:avLst/>
        </a:prstGeom>
      </xdr:spPr>
    </xdr:pic>
    <xdr:clientData/>
  </xdr:twoCellAnchor>
  <xdr:twoCellAnchor editAs="oneCell">
    <xdr:from>
      <xdr:col>7</xdr:col>
      <xdr:colOff>57728</xdr:colOff>
      <xdr:row>1</xdr:row>
      <xdr:rowOff>150090</xdr:rowOff>
    </xdr:from>
    <xdr:to>
      <xdr:col>10</xdr:col>
      <xdr:colOff>877455</xdr:colOff>
      <xdr:row>1</xdr:row>
      <xdr:rowOff>2787773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91C6FB61-19C7-4DBE-8696-D30F6749E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" r="566"/>
        <a:stretch/>
      </xdr:blipFill>
      <xdr:spPr>
        <a:xfrm>
          <a:off x="9282546" y="357908"/>
          <a:ext cx="3175000" cy="2637683"/>
        </a:xfrm>
        <a:prstGeom prst="rect">
          <a:avLst/>
        </a:prstGeom>
      </xdr:spPr>
    </xdr:pic>
    <xdr:clientData/>
  </xdr:twoCellAnchor>
  <xdr:twoCellAnchor editAs="oneCell">
    <xdr:from>
      <xdr:col>5</xdr:col>
      <xdr:colOff>392547</xdr:colOff>
      <xdr:row>9</xdr:row>
      <xdr:rowOff>115454</xdr:rowOff>
    </xdr:from>
    <xdr:to>
      <xdr:col>5</xdr:col>
      <xdr:colOff>1411722</xdr:colOff>
      <xdr:row>9</xdr:row>
      <xdr:rowOff>1302515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FBDB9B8C-F69C-47F2-9F44-80150835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18647" y="44749604"/>
          <a:ext cx="1019175" cy="1187061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10</xdr:row>
      <xdr:rowOff>81643</xdr:rowOff>
    </xdr:from>
    <xdr:to>
      <xdr:col>5</xdr:col>
      <xdr:colOff>1416050</xdr:colOff>
      <xdr:row>10</xdr:row>
      <xdr:rowOff>1188357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90C929F0-8976-4931-A796-13DD429D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46204868"/>
          <a:ext cx="1130300" cy="1106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421822</xdr:colOff>
      <xdr:row>11</xdr:row>
      <xdr:rowOff>95249</xdr:rowOff>
    </xdr:from>
    <xdr:to>
      <xdr:col>5</xdr:col>
      <xdr:colOff>1379199</xdr:colOff>
      <xdr:row>11</xdr:row>
      <xdr:rowOff>993321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781B359B-0BBD-4B1B-83CE-33747340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097" y="47482124"/>
          <a:ext cx="957377" cy="89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154235</xdr:colOff>
      <xdr:row>12</xdr:row>
      <xdr:rowOff>263876</xdr:rowOff>
    </xdr:from>
    <xdr:to>
      <xdr:col>5</xdr:col>
      <xdr:colOff>1625704</xdr:colOff>
      <xdr:row>12</xdr:row>
      <xdr:rowOff>743301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184577CD-99C0-4236-9F3A-0A9B0988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284439" y="12352399"/>
          <a:ext cx="479425" cy="147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625929</xdr:colOff>
      <xdr:row>13</xdr:row>
      <xdr:rowOff>81642</xdr:rowOff>
    </xdr:from>
    <xdr:to>
      <xdr:col>5</xdr:col>
      <xdr:colOff>1114879</xdr:colOff>
      <xdr:row>13</xdr:row>
      <xdr:rowOff>576942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EE9EF508-6663-49FD-8647-9D064F3F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5204" y="93515542"/>
          <a:ext cx="4889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204107</xdr:colOff>
      <xdr:row>14</xdr:row>
      <xdr:rowOff>81643</xdr:rowOff>
    </xdr:from>
    <xdr:to>
      <xdr:col>5</xdr:col>
      <xdr:colOff>1528474</xdr:colOff>
      <xdr:row>14</xdr:row>
      <xdr:rowOff>1985819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152B600A-4A7E-41F4-9172-936F949F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grayscl/>
        </a:blip>
        <a:stretch>
          <a:fillRect/>
        </a:stretch>
      </xdr:blipFill>
      <xdr:spPr>
        <a:xfrm>
          <a:off x="5838289" y="14594279"/>
          <a:ext cx="1324367" cy="1904176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272143</xdr:colOff>
      <xdr:row>15</xdr:row>
      <xdr:rowOff>81643</xdr:rowOff>
    </xdr:from>
    <xdr:to>
      <xdr:col>5</xdr:col>
      <xdr:colOff>1437368</xdr:colOff>
      <xdr:row>15</xdr:row>
      <xdr:rowOff>1284968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6777E474-AA37-4EA3-9A4E-768F6BBFA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593" y="73751168"/>
          <a:ext cx="1165225" cy="120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462643</xdr:colOff>
      <xdr:row>16</xdr:row>
      <xdr:rowOff>68035</xdr:rowOff>
    </xdr:from>
    <xdr:to>
      <xdr:col>5</xdr:col>
      <xdr:colOff>1132568</xdr:colOff>
      <xdr:row>16</xdr:row>
      <xdr:rowOff>709385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0B95D380-250A-4ADA-B4D2-C1D3A340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093" y="75093285"/>
          <a:ext cx="669925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530679</xdr:colOff>
      <xdr:row>17</xdr:row>
      <xdr:rowOff>95250</xdr:rowOff>
    </xdr:from>
    <xdr:to>
      <xdr:col>5</xdr:col>
      <xdr:colOff>1095829</xdr:colOff>
      <xdr:row>17</xdr:row>
      <xdr:rowOff>654050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D6B1AC1D-80F5-4F69-B7A5-3777745ED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954" y="75942825"/>
          <a:ext cx="56515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18</xdr:row>
      <xdr:rowOff>81643</xdr:rowOff>
    </xdr:from>
    <xdr:to>
      <xdr:col>5</xdr:col>
      <xdr:colOff>1443265</xdr:colOff>
      <xdr:row>18</xdr:row>
      <xdr:rowOff>1225096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B34A3FB3-C78A-4E5E-A091-3A45522EF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5415" y="76703918"/>
          <a:ext cx="1130300" cy="1143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163285</xdr:colOff>
      <xdr:row>19</xdr:row>
      <xdr:rowOff>176893</xdr:rowOff>
    </xdr:from>
    <xdr:to>
      <xdr:col>5</xdr:col>
      <xdr:colOff>1680665</xdr:colOff>
      <xdr:row>19</xdr:row>
      <xdr:rowOff>489857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DC483B2A-2D0A-4F29-92F5-617FA0E5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89385" y="141550118"/>
          <a:ext cx="1517380" cy="312964"/>
        </a:xfrm>
        <a:prstGeom prst="rect">
          <a:avLst/>
        </a:prstGeom>
      </xdr:spPr>
    </xdr:pic>
    <xdr:clientData/>
  </xdr:twoCellAnchor>
  <xdr:twoCellAnchor editAs="oneCell">
    <xdr:from>
      <xdr:col>5</xdr:col>
      <xdr:colOff>149679</xdr:colOff>
      <xdr:row>20</xdr:row>
      <xdr:rowOff>190500</xdr:rowOff>
    </xdr:from>
    <xdr:to>
      <xdr:col>5</xdr:col>
      <xdr:colOff>1571172</xdr:colOff>
      <xdr:row>20</xdr:row>
      <xdr:rowOff>574214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3A611FF1-61BD-47BA-A798-600E4261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78954" y="142398750"/>
          <a:ext cx="1421493" cy="38371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21</xdr:row>
      <xdr:rowOff>204107</xdr:rowOff>
    </xdr:from>
    <xdr:to>
      <xdr:col>5</xdr:col>
      <xdr:colOff>1684347</xdr:colOff>
      <xdr:row>21</xdr:row>
      <xdr:rowOff>485775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8BBF709B-DBDE-4B82-B867-D15F1DE7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24525" y="143247382"/>
          <a:ext cx="1589097" cy="281668"/>
        </a:xfrm>
        <a:prstGeom prst="rect">
          <a:avLst/>
        </a:prstGeom>
      </xdr:spPr>
    </xdr:pic>
    <xdr:clientData/>
  </xdr:twoCellAnchor>
  <xdr:twoCellAnchor editAs="oneCell">
    <xdr:from>
      <xdr:col>5</xdr:col>
      <xdr:colOff>84818</xdr:colOff>
      <xdr:row>22</xdr:row>
      <xdr:rowOff>163287</xdr:rowOff>
    </xdr:from>
    <xdr:to>
      <xdr:col>5</xdr:col>
      <xdr:colOff>1728107</xdr:colOff>
      <xdr:row>22</xdr:row>
      <xdr:rowOff>442007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C4E2D3CD-E5CA-4B57-8400-524939A4B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7268" y="144044762"/>
          <a:ext cx="1643289" cy="27872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122466</xdr:colOff>
      <xdr:row>23</xdr:row>
      <xdr:rowOff>122465</xdr:rowOff>
    </xdr:from>
    <xdr:to>
      <xdr:col>5</xdr:col>
      <xdr:colOff>1708152</xdr:colOff>
      <xdr:row>23</xdr:row>
      <xdr:rowOff>407960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660100B3-E066-4E93-B607-6EEA3B382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54916" y="144686565"/>
          <a:ext cx="1585686" cy="285495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176893</xdr:colOff>
      <xdr:row>24</xdr:row>
      <xdr:rowOff>122465</xdr:rowOff>
    </xdr:from>
    <xdr:to>
      <xdr:col>5</xdr:col>
      <xdr:colOff>1643290</xdr:colOff>
      <xdr:row>24</xdr:row>
      <xdr:rowOff>682947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CD7241E8-A74B-4696-A556-17F08DE1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09343" y="195264315"/>
          <a:ext cx="1466397" cy="560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AJ37"/>
  <sheetViews>
    <sheetView tabSelected="1" topLeftCell="B1" zoomScale="55" zoomScaleNormal="55" workbookViewId="0">
      <selection activeCell="N2" sqref="N2"/>
    </sheetView>
  </sheetViews>
  <sheetFormatPr defaultColWidth="9.140625" defaultRowHeight="15.75" x14ac:dyDescent="0.25"/>
  <cols>
    <col min="1" max="1" width="6.28515625" style="3" hidden="1" customWidth="1"/>
    <col min="2" max="2" width="7.7109375" style="9" customWidth="1"/>
    <col min="3" max="3" width="19.85546875" style="2" customWidth="1"/>
    <col min="4" max="4" width="41.28515625" style="2" customWidth="1"/>
    <col min="5" max="5" width="11.7109375" style="2" customWidth="1"/>
    <col min="6" max="6" width="26.7109375" style="2" customWidth="1"/>
    <col min="7" max="7" width="24.5703125" style="2" customWidth="1"/>
    <col min="8" max="8" width="10.140625" style="2" customWidth="1"/>
    <col min="9" max="10" width="11.7109375" style="2" customWidth="1"/>
    <col min="11" max="11" width="15.140625" style="10" customWidth="1"/>
    <col min="12" max="13" width="15.140625" style="9" customWidth="1"/>
    <col min="14" max="14" width="32" style="3" customWidth="1"/>
    <col min="15" max="15" width="13.85546875" style="3" customWidth="1"/>
    <col min="16" max="30" width="9.140625" style="9"/>
    <col min="31" max="16384" width="9.140625" style="3"/>
  </cols>
  <sheetData>
    <row r="1" spans="1:36" ht="16.5" thickBot="1" x14ac:dyDescent="0.3">
      <c r="A1" s="74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36" ht="387" customHeight="1" thickBot="1" x14ac:dyDescent="0.3">
      <c r="A2" s="49"/>
      <c r="B2" s="79"/>
      <c r="C2" s="80"/>
      <c r="D2" s="80"/>
      <c r="E2" s="80"/>
      <c r="F2" s="80"/>
      <c r="G2" s="80"/>
      <c r="H2" s="80"/>
      <c r="I2" s="80"/>
      <c r="J2" s="80"/>
      <c r="K2" s="81"/>
      <c r="L2" s="3"/>
      <c r="M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6" ht="69" customHeight="1" thickBot="1" x14ac:dyDescent="0.3">
      <c r="A3" s="34"/>
      <c r="B3" s="18" t="s">
        <v>0</v>
      </c>
      <c r="C3" s="15" t="s">
        <v>2</v>
      </c>
      <c r="D3" s="15" t="s">
        <v>1</v>
      </c>
      <c r="E3" s="15" t="s">
        <v>9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7</v>
      </c>
      <c r="K3" s="19" t="s">
        <v>8</v>
      </c>
      <c r="L3" s="14" t="s">
        <v>10</v>
      </c>
      <c r="M3" s="14" t="s">
        <v>55</v>
      </c>
      <c r="N3" s="37" t="s">
        <v>56</v>
      </c>
      <c r="O3" s="38" t="s">
        <v>43</v>
      </c>
      <c r="P3" s="39"/>
      <c r="Q3" s="30" t="s">
        <v>41</v>
      </c>
      <c r="R3" s="39"/>
      <c r="S3" s="30" t="s">
        <v>42</v>
      </c>
      <c r="T3" s="39"/>
      <c r="U3" s="30" t="s">
        <v>45</v>
      </c>
      <c r="V3" s="39"/>
      <c r="W3" s="29" t="s">
        <v>48</v>
      </c>
      <c r="X3" s="39"/>
      <c r="Y3" s="29" t="s">
        <v>49</v>
      </c>
      <c r="Z3" s="39"/>
      <c r="AA3" s="29" t="s">
        <v>46</v>
      </c>
      <c r="AB3" s="39"/>
      <c r="AC3" s="29" t="s">
        <v>47</v>
      </c>
      <c r="AD3" s="39"/>
      <c r="AE3" s="29" t="s">
        <v>57</v>
      </c>
      <c r="AF3" s="39"/>
      <c r="AG3" s="29" t="s">
        <v>59</v>
      </c>
      <c r="AH3" s="39"/>
      <c r="AI3" s="29" t="s">
        <v>60</v>
      </c>
      <c r="AJ3" s="39"/>
    </row>
    <row r="4" spans="1:36" ht="16.5" thickBot="1" x14ac:dyDescent="0.3">
      <c r="A4" s="27"/>
      <c r="B4" s="76" t="s">
        <v>12</v>
      </c>
      <c r="C4" s="77"/>
      <c r="D4" s="77"/>
      <c r="E4" s="77"/>
      <c r="F4" s="77"/>
      <c r="G4" s="77"/>
      <c r="H4" s="77"/>
      <c r="I4" s="77"/>
      <c r="J4" s="77"/>
      <c r="K4" s="78"/>
      <c r="L4" s="32"/>
      <c r="M4" s="32"/>
    </row>
    <row r="5" spans="1:36" s="2" customFormat="1" ht="18.75" customHeight="1" thickBot="1" x14ac:dyDescent="0.3">
      <c r="A5" s="60"/>
      <c r="B5" s="62">
        <v>1</v>
      </c>
      <c r="C5" s="54" t="s">
        <v>67</v>
      </c>
      <c r="D5" s="54" t="s">
        <v>66</v>
      </c>
      <c r="E5" s="54">
        <v>2</v>
      </c>
      <c r="F5" s="54"/>
      <c r="G5" s="63">
        <v>7015</v>
      </c>
      <c r="H5" s="54">
        <v>0.4</v>
      </c>
      <c r="I5" s="54">
        <v>0.1</v>
      </c>
      <c r="J5" s="54">
        <v>0.1</v>
      </c>
      <c r="K5" s="64">
        <f t="shared" ref="K5:K7" si="0">H5*I5*J5</f>
        <v>4.000000000000001E-3</v>
      </c>
      <c r="L5" s="26">
        <f t="shared" ref="L5:L7" si="1">K5*E5</f>
        <v>8.0000000000000019E-3</v>
      </c>
      <c r="M5" s="26">
        <v>1.3</v>
      </c>
    </row>
    <row r="6" spans="1:36" s="2" customFormat="1" ht="18.75" customHeight="1" thickBot="1" x14ac:dyDescent="0.3">
      <c r="A6" s="61"/>
      <c r="B6" s="5">
        <v>2</v>
      </c>
      <c r="C6" s="1" t="s">
        <v>69</v>
      </c>
      <c r="D6" s="1" t="s">
        <v>70</v>
      </c>
      <c r="E6" s="1">
        <v>2</v>
      </c>
      <c r="F6" s="1"/>
      <c r="G6" s="16"/>
      <c r="H6" s="1">
        <v>1.55</v>
      </c>
      <c r="I6" s="1">
        <v>0.1</v>
      </c>
      <c r="J6" s="1">
        <v>0.1</v>
      </c>
      <c r="K6" s="23">
        <f t="shared" si="0"/>
        <v>1.5500000000000003E-2</v>
      </c>
      <c r="L6" s="26">
        <f t="shared" si="1"/>
        <v>3.1000000000000007E-2</v>
      </c>
      <c r="M6" s="26">
        <v>5.2</v>
      </c>
    </row>
    <row r="7" spans="1:36" s="2" customFormat="1" ht="18.75" customHeight="1" x14ac:dyDescent="0.25">
      <c r="A7" s="61"/>
      <c r="B7" s="5">
        <v>3</v>
      </c>
      <c r="C7" s="1" t="s">
        <v>71</v>
      </c>
      <c r="D7" s="1" t="s">
        <v>72</v>
      </c>
      <c r="E7" s="1">
        <v>2</v>
      </c>
      <c r="F7" s="1"/>
      <c r="G7" s="16"/>
      <c r="H7" s="1">
        <v>1.1499999999999999</v>
      </c>
      <c r="I7" s="1">
        <v>0.1</v>
      </c>
      <c r="J7" s="1">
        <v>0.1</v>
      </c>
      <c r="K7" s="23">
        <f t="shared" si="0"/>
        <v>1.15E-2</v>
      </c>
      <c r="L7" s="26">
        <f t="shared" si="1"/>
        <v>2.3E-2</v>
      </c>
      <c r="M7" s="26">
        <v>3.8</v>
      </c>
    </row>
    <row r="8" spans="1:36" s="2" customFormat="1" ht="33" customHeight="1" thickBot="1" x14ac:dyDescent="0.3">
      <c r="A8" s="60"/>
      <c r="B8" s="53">
        <v>4</v>
      </c>
      <c r="C8" s="7" t="s">
        <v>22</v>
      </c>
      <c r="D8" s="7" t="s">
        <v>16</v>
      </c>
      <c r="E8" s="7">
        <v>6</v>
      </c>
      <c r="F8" s="7"/>
      <c r="G8" s="50">
        <v>7015</v>
      </c>
      <c r="H8" s="7">
        <v>7.4999999999999997E-2</v>
      </c>
      <c r="I8" s="7">
        <v>7.4999999999999997E-2</v>
      </c>
      <c r="J8" s="7">
        <v>0.26</v>
      </c>
      <c r="K8" s="22">
        <f t="shared" ref="K8" si="2">H8*I8*J8</f>
        <v>1.4625E-3</v>
      </c>
      <c r="L8" s="26">
        <f t="shared" ref="L8:M30" si="3">K8*E8</f>
        <v>8.7749999999999998E-3</v>
      </c>
      <c r="M8" s="26">
        <v>3.6</v>
      </c>
      <c r="N8" s="41" t="s">
        <v>65</v>
      </c>
      <c r="P8" s="2">
        <f>O8*E8</f>
        <v>0</v>
      </c>
      <c r="R8" s="2">
        <f>Q8*E8</f>
        <v>0</v>
      </c>
      <c r="T8" s="2">
        <f t="shared" ref="T8" si="4">S8*E8</f>
        <v>0</v>
      </c>
      <c r="V8" s="2">
        <f t="shared" ref="V8" si="5">U8*E8</f>
        <v>0</v>
      </c>
      <c r="W8" s="2">
        <v>3</v>
      </c>
      <c r="X8" s="2">
        <f t="shared" ref="X8" si="6">W8*E8</f>
        <v>18</v>
      </c>
      <c r="Z8" s="2">
        <f t="shared" ref="Z8" si="7">Y8*E8</f>
        <v>0</v>
      </c>
      <c r="AA8" s="2">
        <v>3</v>
      </c>
      <c r="AB8" s="2">
        <f t="shared" ref="AB8" si="8">AA8*E8</f>
        <v>18</v>
      </c>
      <c r="AD8" s="2">
        <f t="shared" ref="AD8" si="9">AC8*E8</f>
        <v>0</v>
      </c>
      <c r="AF8" s="2">
        <f t="shared" ref="AF8" si="10">AE8*E8</f>
        <v>0</v>
      </c>
      <c r="AH8" s="2">
        <f t="shared" ref="AH8" si="11">AG8*E8</f>
        <v>0</v>
      </c>
      <c r="AJ8" s="2">
        <f t="shared" ref="AJ8" si="12">AI8*E8</f>
        <v>0</v>
      </c>
    </row>
    <row r="9" spans="1:36" ht="27" customHeight="1" thickBot="1" x14ac:dyDescent="0.3">
      <c r="A9" s="66"/>
      <c r="B9" s="88" t="s">
        <v>13</v>
      </c>
      <c r="C9" s="89"/>
      <c r="D9" s="89"/>
      <c r="E9" s="89"/>
      <c r="F9" s="89"/>
      <c r="G9" s="89"/>
      <c r="H9" s="89"/>
      <c r="I9" s="89"/>
      <c r="J9" s="89"/>
      <c r="K9" s="90"/>
      <c r="L9" s="26">
        <f t="shared" si="3"/>
        <v>0</v>
      </c>
      <c r="M9" s="26">
        <f t="shared" si="3"/>
        <v>0</v>
      </c>
      <c r="N9" s="44"/>
      <c r="O9" s="2"/>
      <c r="P9" s="2">
        <f t="shared" ref="P9:P30" si="13">O9*E9</f>
        <v>0</v>
      </c>
      <c r="R9" s="2">
        <f t="shared" ref="R9:R30" si="14">Q9*E9</f>
        <v>0</v>
      </c>
      <c r="T9" s="2">
        <f t="shared" ref="T9:T25" si="15">S9*E9</f>
        <v>0</v>
      </c>
      <c r="V9" s="2">
        <f t="shared" ref="V9:V25" si="16">U9*E9</f>
        <v>0</v>
      </c>
      <c r="X9" s="2">
        <f t="shared" ref="X9:X25" si="17">W9*E9</f>
        <v>0</v>
      </c>
      <c r="Z9" s="2">
        <f t="shared" ref="Z9:Z25" si="18">Y9*E9</f>
        <v>0</v>
      </c>
      <c r="AB9" s="2">
        <f t="shared" ref="AB9:AB25" si="19">AA9*E9</f>
        <v>0</v>
      </c>
      <c r="AD9" s="2">
        <f t="shared" ref="AD9:AD25" si="20">AC9*E9</f>
        <v>0</v>
      </c>
      <c r="AF9" s="2">
        <f t="shared" ref="AF9:AF25" si="21">AE9*E9</f>
        <v>0</v>
      </c>
      <c r="AH9" s="2">
        <f t="shared" ref="AH9:AH25" si="22">AG9*E9</f>
        <v>0</v>
      </c>
      <c r="AJ9" s="2">
        <f t="shared" ref="AJ9:AJ25" si="23">AI9*E9</f>
        <v>0</v>
      </c>
    </row>
    <row r="10" spans="1:36" s="2" customFormat="1" ht="117" customHeight="1" x14ac:dyDescent="0.25">
      <c r="A10" s="68"/>
      <c r="B10" s="69" t="s">
        <v>100</v>
      </c>
      <c r="C10" s="54" t="s">
        <v>73</v>
      </c>
      <c r="D10" s="54" t="s">
        <v>74</v>
      </c>
      <c r="E10" s="70">
        <v>1</v>
      </c>
      <c r="F10" s="70"/>
      <c r="G10" s="71">
        <v>6010</v>
      </c>
      <c r="H10" s="54">
        <v>1.5</v>
      </c>
      <c r="I10" s="54">
        <v>1.155</v>
      </c>
      <c r="J10" s="54">
        <v>2.1000000000000001E-2</v>
      </c>
      <c r="K10" s="64">
        <f>H10*I10*J10</f>
        <v>3.6382499999999998E-2</v>
      </c>
      <c r="L10" s="26">
        <f t="shared" si="3"/>
        <v>3.6382499999999998E-2</v>
      </c>
      <c r="M10" s="26">
        <v>27.216000000000001</v>
      </c>
      <c r="N10" s="36" t="s">
        <v>62</v>
      </c>
      <c r="O10" s="56"/>
      <c r="P10" s="57">
        <f t="shared" si="13"/>
        <v>0</v>
      </c>
      <c r="Q10" s="56"/>
      <c r="R10" s="2">
        <f t="shared" si="14"/>
        <v>0</v>
      </c>
      <c r="S10" s="56"/>
      <c r="T10" s="2">
        <f t="shared" si="15"/>
        <v>0</v>
      </c>
      <c r="V10" s="2">
        <f t="shared" si="16"/>
        <v>0</v>
      </c>
      <c r="X10" s="2">
        <f t="shared" si="17"/>
        <v>0</v>
      </c>
      <c r="Y10" s="2">
        <v>4</v>
      </c>
      <c r="Z10" s="2">
        <f t="shared" si="18"/>
        <v>4</v>
      </c>
      <c r="AA10" s="2">
        <v>4</v>
      </c>
      <c r="AB10" s="2">
        <f t="shared" si="19"/>
        <v>4</v>
      </c>
      <c r="AD10" s="2">
        <f t="shared" si="20"/>
        <v>0</v>
      </c>
      <c r="AF10" s="2">
        <f t="shared" si="21"/>
        <v>0</v>
      </c>
      <c r="AH10" s="2">
        <f t="shared" si="22"/>
        <v>0</v>
      </c>
      <c r="AJ10" s="2">
        <f t="shared" si="23"/>
        <v>0</v>
      </c>
    </row>
    <row r="11" spans="1:36" s="2" customFormat="1" ht="99.75" customHeight="1" x14ac:dyDescent="0.25">
      <c r="A11" s="24"/>
      <c r="B11" s="13" t="s">
        <v>101</v>
      </c>
      <c r="C11" s="4" t="s">
        <v>37</v>
      </c>
      <c r="D11" s="1" t="s">
        <v>33</v>
      </c>
      <c r="E11" s="1">
        <v>1</v>
      </c>
      <c r="F11" s="1"/>
      <c r="G11" s="17">
        <v>1023</v>
      </c>
      <c r="H11" s="1">
        <v>0.76300000000000001</v>
      </c>
      <c r="I11" s="1">
        <v>0.79500000000000004</v>
      </c>
      <c r="J11" s="6">
        <v>2.1000000000000001E-2</v>
      </c>
      <c r="K11" s="23">
        <f>H11*I11*J11</f>
        <v>1.2738285000000002E-2</v>
      </c>
      <c r="L11" s="26">
        <f t="shared" si="3"/>
        <v>1.2738285000000002E-2</v>
      </c>
      <c r="M11" s="26">
        <v>3.67</v>
      </c>
      <c r="N11" s="40" t="s">
        <v>75</v>
      </c>
      <c r="P11" s="2">
        <f t="shared" si="13"/>
        <v>0</v>
      </c>
      <c r="Q11" s="2">
        <v>6</v>
      </c>
      <c r="R11" s="2">
        <f t="shared" si="14"/>
        <v>6</v>
      </c>
      <c r="T11" s="2">
        <f t="shared" si="15"/>
        <v>0</v>
      </c>
      <c r="V11" s="2">
        <f t="shared" si="16"/>
        <v>0</v>
      </c>
      <c r="X11" s="2">
        <f t="shared" si="17"/>
        <v>0</v>
      </c>
      <c r="Z11" s="2">
        <f t="shared" si="18"/>
        <v>0</v>
      </c>
      <c r="AA11" s="2">
        <v>6</v>
      </c>
      <c r="AB11" s="2">
        <f t="shared" si="19"/>
        <v>6</v>
      </c>
      <c r="AC11" s="2">
        <v>6</v>
      </c>
      <c r="AD11" s="2">
        <f t="shared" si="20"/>
        <v>6</v>
      </c>
      <c r="AF11" s="2">
        <f t="shared" si="21"/>
        <v>0</v>
      </c>
      <c r="AH11" s="2">
        <f t="shared" si="22"/>
        <v>0</v>
      </c>
      <c r="AJ11" s="2">
        <f t="shared" si="23"/>
        <v>0</v>
      </c>
    </row>
    <row r="12" spans="1:36" s="2" customFormat="1" ht="84.75" customHeight="1" x14ac:dyDescent="0.25">
      <c r="A12" s="24"/>
      <c r="B12" s="13" t="s">
        <v>102</v>
      </c>
      <c r="C12" s="1" t="s">
        <v>76</v>
      </c>
      <c r="D12" s="1" t="s">
        <v>34</v>
      </c>
      <c r="E12" s="1">
        <v>1</v>
      </c>
      <c r="F12" s="1"/>
      <c r="G12" s="1" t="s">
        <v>24</v>
      </c>
      <c r="H12" s="1">
        <v>0.74299999999999999</v>
      </c>
      <c r="I12" s="1">
        <v>0.77500000000000002</v>
      </c>
      <c r="J12" s="6">
        <v>2.1000000000000001E-2</v>
      </c>
      <c r="K12" s="23">
        <f t="shared" ref="K12" si="24">H12*I12*J12</f>
        <v>1.2092325000000001E-2</v>
      </c>
      <c r="L12" s="26">
        <f t="shared" si="3"/>
        <v>1.2092325000000001E-2</v>
      </c>
      <c r="M12" s="26">
        <v>1.59</v>
      </c>
      <c r="N12" s="30"/>
      <c r="P12" s="2">
        <f t="shared" si="13"/>
        <v>0</v>
      </c>
      <c r="R12" s="2">
        <f t="shared" si="14"/>
        <v>0</v>
      </c>
      <c r="T12" s="2">
        <f t="shared" si="15"/>
        <v>0</v>
      </c>
      <c r="V12" s="2">
        <f t="shared" si="16"/>
        <v>0</v>
      </c>
      <c r="X12" s="2">
        <f t="shared" si="17"/>
        <v>0</v>
      </c>
      <c r="Z12" s="2">
        <f t="shared" si="18"/>
        <v>0</v>
      </c>
      <c r="AB12" s="2">
        <f t="shared" si="19"/>
        <v>0</v>
      </c>
      <c r="AD12" s="2">
        <f t="shared" si="20"/>
        <v>0</v>
      </c>
      <c r="AF12" s="2">
        <f t="shared" si="21"/>
        <v>0</v>
      </c>
      <c r="AH12" s="2">
        <f t="shared" si="22"/>
        <v>0</v>
      </c>
      <c r="AJ12" s="2">
        <f t="shared" si="23"/>
        <v>0</v>
      </c>
    </row>
    <row r="13" spans="1:36" s="2" customFormat="1" ht="69.599999999999994" customHeight="1" x14ac:dyDescent="0.25">
      <c r="A13" s="24"/>
      <c r="B13" s="13" t="s">
        <v>103</v>
      </c>
      <c r="C13" s="4" t="s">
        <v>77</v>
      </c>
      <c r="D13" s="72" t="s">
        <v>78</v>
      </c>
      <c r="E13" s="1">
        <v>2</v>
      </c>
      <c r="F13" s="1"/>
      <c r="G13" s="17">
        <v>1023</v>
      </c>
      <c r="H13" s="1">
        <v>0.45</v>
      </c>
      <c r="I13" s="1">
        <v>0.08</v>
      </c>
      <c r="J13" s="6">
        <v>2.1000000000000001E-2</v>
      </c>
      <c r="K13" s="23">
        <f>H13*I13*J13</f>
        <v>7.5600000000000016E-4</v>
      </c>
      <c r="L13" s="26">
        <f>K13*E13</f>
        <v>1.5120000000000003E-3</v>
      </c>
      <c r="M13" s="26">
        <v>0.28000000000000003</v>
      </c>
      <c r="N13" s="36" t="s">
        <v>61</v>
      </c>
      <c r="P13" s="2">
        <f t="shared" si="13"/>
        <v>0</v>
      </c>
      <c r="R13" s="2">
        <f t="shared" si="14"/>
        <v>0</v>
      </c>
      <c r="T13" s="2">
        <f t="shared" si="15"/>
        <v>0</v>
      </c>
      <c r="V13" s="2">
        <f t="shared" si="16"/>
        <v>0</v>
      </c>
      <c r="X13" s="2">
        <f t="shared" si="17"/>
        <v>0</v>
      </c>
      <c r="Y13" s="2">
        <v>2</v>
      </c>
      <c r="Z13" s="2">
        <f t="shared" si="18"/>
        <v>4</v>
      </c>
      <c r="AA13" s="2">
        <v>2</v>
      </c>
      <c r="AB13" s="2">
        <f t="shared" si="19"/>
        <v>4</v>
      </c>
      <c r="AD13" s="2">
        <f t="shared" si="20"/>
        <v>0</v>
      </c>
      <c r="AF13" s="2">
        <f t="shared" si="21"/>
        <v>0</v>
      </c>
      <c r="AH13" s="2">
        <f t="shared" si="22"/>
        <v>0</v>
      </c>
      <c r="AJ13" s="2">
        <f t="shared" si="23"/>
        <v>0</v>
      </c>
    </row>
    <row r="14" spans="1:36" s="2" customFormat="1" ht="55.5" customHeight="1" x14ac:dyDescent="0.25">
      <c r="A14" s="24"/>
      <c r="B14" s="13" t="s">
        <v>50</v>
      </c>
      <c r="C14" s="4" t="s">
        <v>36</v>
      </c>
      <c r="D14" s="4" t="s">
        <v>27</v>
      </c>
      <c r="E14" s="1">
        <v>20</v>
      </c>
      <c r="F14" s="1"/>
      <c r="G14" s="4"/>
      <c r="H14" s="1">
        <v>0.11</v>
      </c>
      <c r="I14" s="1">
        <v>0.11</v>
      </c>
      <c r="J14" s="6">
        <v>2.1000000000000001E-2</v>
      </c>
      <c r="K14" s="23">
        <f>H14*I14*J14</f>
        <v>2.541E-4</v>
      </c>
      <c r="L14" s="26">
        <f>K14*E14</f>
        <v>5.0819999999999997E-3</v>
      </c>
      <c r="M14" s="26">
        <v>0.1</v>
      </c>
      <c r="N14" s="30"/>
      <c r="P14" s="2">
        <f t="shared" si="13"/>
        <v>0</v>
      </c>
      <c r="R14" s="2">
        <f t="shared" si="14"/>
        <v>0</v>
      </c>
      <c r="T14" s="2">
        <f t="shared" si="15"/>
        <v>0</v>
      </c>
      <c r="V14" s="2">
        <f t="shared" si="16"/>
        <v>0</v>
      </c>
      <c r="X14" s="2">
        <f t="shared" si="17"/>
        <v>0</v>
      </c>
      <c r="Z14" s="2">
        <f t="shared" si="18"/>
        <v>0</v>
      </c>
      <c r="AB14" s="2">
        <f t="shared" si="19"/>
        <v>0</v>
      </c>
      <c r="AD14" s="2">
        <f t="shared" si="20"/>
        <v>0</v>
      </c>
      <c r="AF14" s="2">
        <f t="shared" si="21"/>
        <v>0</v>
      </c>
      <c r="AH14" s="2">
        <f t="shared" si="22"/>
        <v>0</v>
      </c>
      <c r="AJ14" s="2">
        <f t="shared" si="23"/>
        <v>0</v>
      </c>
    </row>
    <row r="15" spans="1:36" s="2" customFormat="1" ht="165" customHeight="1" x14ac:dyDescent="0.25">
      <c r="A15" s="24"/>
      <c r="B15" s="13" t="s">
        <v>51</v>
      </c>
      <c r="C15" s="1" t="s">
        <v>81</v>
      </c>
      <c r="D15" s="1" t="s">
        <v>82</v>
      </c>
      <c r="E15" s="1">
        <v>1</v>
      </c>
      <c r="F15" s="1"/>
      <c r="G15" s="58">
        <v>6039</v>
      </c>
      <c r="H15" s="1">
        <v>0.8</v>
      </c>
      <c r="I15" s="1">
        <v>1.22</v>
      </c>
      <c r="J15" s="6">
        <v>2.1000000000000001E-2</v>
      </c>
      <c r="K15" s="23">
        <f t="shared" ref="K15:K25" si="25">H15*I15*J15</f>
        <v>2.0496E-2</v>
      </c>
      <c r="L15" s="26">
        <f t="shared" ref="L15:M25" si="26">K15*E15</f>
        <v>2.0496E-2</v>
      </c>
      <c r="M15" s="48">
        <v>11.087999999999999</v>
      </c>
      <c r="N15" s="36" t="s">
        <v>63</v>
      </c>
      <c r="P15" s="2">
        <f t="shared" si="13"/>
        <v>0</v>
      </c>
      <c r="R15" s="2">
        <f t="shared" si="14"/>
        <v>0</v>
      </c>
      <c r="T15" s="2">
        <f t="shared" si="15"/>
        <v>0</v>
      </c>
      <c r="V15" s="2">
        <f t="shared" si="16"/>
        <v>0</v>
      </c>
      <c r="X15" s="2">
        <f t="shared" si="17"/>
        <v>0</v>
      </c>
      <c r="Y15" s="2">
        <v>5</v>
      </c>
      <c r="Z15" s="2">
        <f t="shared" si="18"/>
        <v>5</v>
      </c>
      <c r="AA15" s="2">
        <v>5</v>
      </c>
      <c r="AB15" s="2">
        <f t="shared" si="19"/>
        <v>5</v>
      </c>
      <c r="AD15" s="2">
        <f t="shared" si="20"/>
        <v>0</v>
      </c>
      <c r="AF15" s="2">
        <f t="shared" si="21"/>
        <v>0</v>
      </c>
      <c r="AH15" s="2">
        <f t="shared" si="22"/>
        <v>0</v>
      </c>
      <c r="AJ15" s="2">
        <f t="shared" si="23"/>
        <v>0</v>
      </c>
    </row>
    <row r="16" spans="1:36" s="2" customFormat="1" ht="107.25" customHeight="1" x14ac:dyDescent="0.25">
      <c r="A16" s="24"/>
      <c r="B16" s="13" t="s">
        <v>52</v>
      </c>
      <c r="C16" s="4" t="s">
        <v>38</v>
      </c>
      <c r="D16" s="1" t="s">
        <v>32</v>
      </c>
      <c r="E16" s="1">
        <v>1</v>
      </c>
      <c r="F16" s="1"/>
      <c r="G16" s="55">
        <v>6010</v>
      </c>
      <c r="H16" s="1">
        <v>0.61199999999999999</v>
      </c>
      <c r="I16" s="1">
        <v>0.67300000000000004</v>
      </c>
      <c r="J16" s="6">
        <v>2.1000000000000001E-2</v>
      </c>
      <c r="K16" s="23">
        <f t="shared" si="25"/>
        <v>8.6493960000000002E-3</v>
      </c>
      <c r="L16" s="26">
        <f t="shared" si="26"/>
        <v>8.6493960000000002E-3</v>
      </c>
      <c r="M16" s="26">
        <v>1.61</v>
      </c>
      <c r="N16" s="40" t="s">
        <v>75</v>
      </c>
      <c r="P16" s="2">
        <f t="shared" si="13"/>
        <v>0</v>
      </c>
      <c r="Q16" s="2">
        <v>6</v>
      </c>
      <c r="R16" s="2">
        <f t="shared" si="14"/>
        <v>6</v>
      </c>
      <c r="T16" s="2">
        <f t="shared" si="15"/>
        <v>0</v>
      </c>
      <c r="V16" s="2">
        <f t="shared" si="16"/>
        <v>0</v>
      </c>
      <c r="X16" s="2">
        <f t="shared" si="17"/>
        <v>0</v>
      </c>
      <c r="Z16" s="2">
        <f t="shared" si="18"/>
        <v>0</v>
      </c>
      <c r="AA16" s="2">
        <v>6</v>
      </c>
      <c r="AB16" s="2">
        <f t="shared" si="19"/>
        <v>6</v>
      </c>
      <c r="AC16" s="2">
        <v>6</v>
      </c>
      <c r="AD16" s="2">
        <f t="shared" si="20"/>
        <v>6</v>
      </c>
      <c r="AF16" s="2">
        <f t="shared" si="21"/>
        <v>0</v>
      </c>
      <c r="AH16" s="2">
        <f t="shared" si="22"/>
        <v>0</v>
      </c>
      <c r="AJ16" s="2">
        <f t="shared" si="23"/>
        <v>0</v>
      </c>
    </row>
    <row r="17" spans="1:36" s="8" customFormat="1" ht="64.5" customHeight="1" x14ac:dyDescent="0.25">
      <c r="A17" s="28"/>
      <c r="B17" s="13" t="s">
        <v>53</v>
      </c>
      <c r="C17" s="4" t="s">
        <v>39</v>
      </c>
      <c r="D17" s="1" t="s">
        <v>25</v>
      </c>
      <c r="E17" s="1">
        <v>1</v>
      </c>
      <c r="F17" s="4"/>
      <c r="G17" s="55">
        <v>6010</v>
      </c>
      <c r="H17" s="1">
        <v>0.30399999999999999</v>
      </c>
      <c r="I17" s="1">
        <v>0.29099999999999998</v>
      </c>
      <c r="J17" s="6">
        <v>2.1000000000000001E-2</v>
      </c>
      <c r="K17" s="23">
        <f t="shared" si="25"/>
        <v>1.8577439999999999E-3</v>
      </c>
      <c r="L17" s="26">
        <f t="shared" si="26"/>
        <v>1.8577439999999999E-3</v>
      </c>
      <c r="M17" s="26">
        <v>0.8</v>
      </c>
      <c r="N17" s="40" t="s">
        <v>83</v>
      </c>
      <c r="O17" s="2"/>
      <c r="P17" s="2">
        <f t="shared" si="13"/>
        <v>0</v>
      </c>
      <c r="Q17" s="42">
        <v>1</v>
      </c>
      <c r="R17" s="2">
        <f t="shared" si="14"/>
        <v>1</v>
      </c>
      <c r="S17" s="42"/>
      <c r="T17" s="2">
        <f t="shared" si="15"/>
        <v>0</v>
      </c>
      <c r="U17" s="42"/>
      <c r="V17" s="2">
        <f t="shared" si="16"/>
        <v>0</v>
      </c>
      <c r="W17" s="42"/>
      <c r="X17" s="2">
        <f t="shared" si="17"/>
        <v>0</v>
      </c>
      <c r="Y17" s="42"/>
      <c r="Z17" s="2">
        <f t="shared" si="18"/>
        <v>0</v>
      </c>
      <c r="AA17" s="42">
        <v>1</v>
      </c>
      <c r="AB17" s="2">
        <f t="shared" si="19"/>
        <v>1</v>
      </c>
      <c r="AC17" s="42">
        <v>3</v>
      </c>
      <c r="AD17" s="2">
        <f t="shared" si="20"/>
        <v>3</v>
      </c>
      <c r="AF17" s="2">
        <f t="shared" si="21"/>
        <v>0</v>
      </c>
      <c r="AH17" s="2">
        <f t="shared" si="22"/>
        <v>0</v>
      </c>
      <c r="AJ17" s="2">
        <f t="shared" si="23"/>
        <v>0</v>
      </c>
    </row>
    <row r="18" spans="1:36" s="2" customFormat="1" ht="60.75" customHeight="1" x14ac:dyDescent="0.25">
      <c r="A18" s="24"/>
      <c r="B18" s="13" t="s">
        <v>54</v>
      </c>
      <c r="C18" s="4" t="s">
        <v>40</v>
      </c>
      <c r="D18" s="1" t="s">
        <v>26</v>
      </c>
      <c r="E18" s="1">
        <v>1</v>
      </c>
      <c r="F18" s="1"/>
      <c r="G18" s="17">
        <v>1023</v>
      </c>
      <c r="H18" s="1">
        <v>0.20899999999999999</v>
      </c>
      <c r="I18" s="1">
        <v>0.223</v>
      </c>
      <c r="J18" s="6">
        <v>2.1000000000000001E-2</v>
      </c>
      <c r="K18" s="23">
        <f t="shared" si="25"/>
        <v>9.7874699999999986E-4</v>
      </c>
      <c r="L18" s="26">
        <f t="shared" si="26"/>
        <v>9.7874699999999986E-4</v>
      </c>
      <c r="M18" s="26">
        <v>0.6</v>
      </c>
      <c r="N18" s="40" t="s">
        <v>83</v>
      </c>
      <c r="P18" s="2">
        <f t="shared" si="13"/>
        <v>0</v>
      </c>
      <c r="Q18" s="42">
        <v>1</v>
      </c>
      <c r="R18" s="2">
        <f t="shared" si="14"/>
        <v>1</v>
      </c>
      <c r="S18" s="42"/>
      <c r="T18" s="2">
        <f t="shared" si="15"/>
        <v>0</v>
      </c>
      <c r="U18" s="42"/>
      <c r="V18" s="2">
        <f t="shared" si="16"/>
        <v>0</v>
      </c>
      <c r="W18" s="42"/>
      <c r="X18" s="2">
        <f t="shared" si="17"/>
        <v>0</v>
      </c>
      <c r="Y18" s="42"/>
      <c r="Z18" s="2">
        <f t="shared" si="18"/>
        <v>0</v>
      </c>
      <c r="AA18" s="42">
        <v>1</v>
      </c>
      <c r="AB18" s="2">
        <f t="shared" si="19"/>
        <v>1</v>
      </c>
      <c r="AC18" s="42">
        <v>3</v>
      </c>
      <c r="AD18" s="2">
        <f t="shared" si="20"/>
        <v>3</v>
      </c>
      <c r="AF18" s="2">
        <f t="shared" si="21"/>
        <v>0</v>
      </c>
      <c r="AH18" s="2">
        <f t="shared" si="22"/>
        <v>0</v>
      </c>
      <c r="AJ18" s="2">
        <f t="shared" si="23"/>
        <v>0</v>
      </c>
    </row>
    <row r="19" spans="1:36" s="2" customFormat="1" ht="105" customHeight="1" x14ac:dyDescent="0.25">
      <c r="A19" s="24"/>
      <c r="B19" s="13" t="s">
        <v>21</v>
      </c>
      <c r="C19" s="4" t="s">
        <v>84</v>
      </c>
      <c r="D19" s="1" t="s">
        <v>35</v>
      </c>
      <c r="E19" s="1">
        <v>1</v>
      </c>
      <c r="F19" s="1"/>
      <c r="G19" s="1" t="s">
        <v>24</v>
      </c>
      <c r="H19" s="1">
        <v>0.59299999999999997</v>
      </c>
      <c r="I19" s="1">
        <v>0.65300000000000002</v>
      </c>
      <c r="J19" s="1">
        <v>4.0000000000000001E-3</v>
      </c>
      <c r="K19" s="23">
        <f t="shared" si="25"/>
        <v>1.548916E-3</v>
      </c>
      <c r="L19" s="26">
        <f t="shared" si="26"/>
        <v>1.548916E-3</v>
      </c>
      <c r="M19" s="26">
        <v>3</v>
      </c>
      <c r="N19" s="30"/>
      <c r="P19" s="2">
        <f t="shared" si="13"/>
        <v>0</v>
      </c>
      <c r="R19" s="2">
        <f t="shared" si="14"/>
        <v>0</v>
      </c>
      <c r="T19" s="2">
        <f t="shared" si="15"/>
        <v>0</v>
      </c>
      <c r="V19" s="2">
        <f t="shared" si="16"/>
        <v>0</v>
      </c>
      <c r="X19" s="2">
        <f t="shared" si="17"/>
        <v>0</v>
      </c>
      <c r="Z19" s="2">
        <f t="shared" si="18"/>
        <v>0</v>
      </c>
      <c r="AB19" s="2">
        <f t="shared" si="19"/>
        <v>0</v>
      </c>
      <c r="AD19" s="2">
        <f t="shared" si="20"/>
        <v>0</v>
      </c>
      <c r="AF19" s="2">
        <f t="shared" si="21"/>
        <v>0</v>
      </c>
      <c r="AH19" s="2">
        <f t="shared" si="22"/>
        <v>0</v>
      </c>
      <c r="AJ19" s="2">
        <f t="shared" si="23"/>
        <v>0</v>
      </c>
    </row>
    <row r="20" spans="1:36" s="2" customFormat="1" ht="66" customHeight="1" x14ac:dyDescent="0.25">
      <c r="A20" s="24"/>
      <c r="B20" s="13" t="s">
        <v>17</v>
      </c>
      <c r="C20" s="1" t="s">
        <v>85</v>
      </c>
      <c r="D20" s="1" t="s">
        <v>86</v>
      </c>
      <c r="E20" s="1">
        <v>2</v>
      </c>
      <c r="F20" s="1"/>
      <c r="G20" s="55">
        <v>6010</v>
      </c>
      <c r="H20" s="1">
        <v>0.3</v>
      </c>
      <c r="I20" s="1">
        <v>1.6</v>
      </c>
      <c r="J20" s="6">
        <v>2.1000000000000001E-2</v>
      </c>
      <c r="K20" s="23">
        <f t="shared" si="25"/>
        <v>1.008E-2</v>
      </c>
      <c r="L20" s="26">
        <f t="shared" si="26"/>
        <v>2.0160000000000001E-2</v>
      </c>
      <c r="M20" s="26">
        <v>9.6768000000000001</v>
      </c>
      <c r="N20" s="36" t="s">
        <v>64</v>
      </c>
      <c r="P20" s="2">
        <f t="shared" si="13"/>
        <v>0</v>
      </c>
      <c r="R20" s="2">
        <f t="shared" si="14"/>
        <v>0</v>
      </c>
      <c r="T20" s="2">
        <f t="shared" si="15"/>
        <v>0</v>
      </c>
      <c r="V20" s="2">
        <f t="shared" si="16"/>
        <v>0</v>
      </c>
      <c r="X20" s="2">
        <f t="shared" si="17"/>
        <v>0</v>
      </c>
      <c r="Y20" s="2">
        <v>6</v>
      </c>
      <c r="Z20" s="2">
        <f t="shared" si="18"/>
        <v>12</v>
      </c>
      <c r="AA20" s="2">
        <v>6</v>
      </c>
      <c r="AB20" s="2">
        <f t="shared" si="19"/>
        <v>12</v>
      </c>
      <c r="AD20" s="2">
        <f t="shared" si="20"/>
        <v>0</v>
      </c>
      <c r="AF20" s="2">
        <f t="shared" si="21"/>
        <v>0</v>
      </c>
      <c r="AH20" s="2">
        <f t="shared" si="22"/>
        <v>0</v>
      </c>
      <c r="AJ20" s="2">
        <f t="shared" si="23"/>
        <v>0</v>
      </c>
    </row>
    <row r="21" spans="1:36" s="2" customFormat="1" ht="66" customHeight="1" x14ac:dyDescent="0.25">
      <c r="A21" s="24"/>
      <c r="B21" s="13" t="s">
        <v>18</v>
      </c>
      <c r="C21" s="1" t="s">
        <v>87</v>
      </c>
      <c r="D21" s="1" t="s">
        <v>88</v>
      </c>
      <c r="E21" s="1">
        <v>2</v>
      </c>
      <c r="F21" s="1"/>
      <c r="G21" s="55">
        <v>6010</v>
      </c>
      <c r="H21" s="1">
        <v>0.3</v>
      </c>
      <c r="I21" s="1">
        <v>1.3</v>
      </c>
      <c r="J21" s="6">
        <v>2.1000000000000001E-2</v>
      </c>
      <c r="K21" s="23">
        <f t="shared" si="25"/>
        <v>8.1900000000000011E-3</v>
      </c>
      <c r="L21" s="26">
        <f t="shared" si="26"/>
        <v>1.6380000000000002E-2</v>
      </c>
      <c r="M21" s="26">
        <v>7.8624000000000001</v>
      </c>
      <c r="N21" s="36" t="s">
        <v>64</v>
      </c>
      <c r="P21" s="2">
        <f t="shared" si="13"/>
        <v>0</v>
      </c>
      <c r="R21" s="2">
        <f t="shared" si="14"/>
        <v>0</v>
      </c>
      <c r="T21" s="2">
        <f t="shared" si="15"/>
        <v>0</v>
      </c>
      <c r="V21" s="2">
        <f t="shared" si="16"/>
        <v>0</v>
      </c>
      <c r="X21" s="2">
        <f t="shared" si="17"/>
        <v>0</v>
      </c>
      <c r="Y21" s="2">
        <v>6</v>
      </c>
      <c r="Z21" s="2">
        <f t="shared" si="18"/>
        <v>12</v>
      </c>
      <c r="AA21" s="2">
        <v>6</v>
      </c>
      <c r="AB21" s="2">
        <f t="shared" si="19"/>
        <v>12</v>
      </c>
      <c r="AD21" s="2">
        <f t="shared" si="20"/>
        <v>0</v>
      </c>
      <c r="AF21" s="2">
        <f t="shared" si="21"/>
        <v>0</v>
      </c>
      <c r="AH21" s="2">
        <f t="shared" si="22"/>
        <v>0</v>
      </c>
      <c r="AJ21" s="2">
        <f t="shared" si="23"/>
        <v>0</v>
      </c>
    </row>
    <row r="22" spans="1:36" s="2" customFormat="1" ht="66" customHeight="1" x14ac:dyDescent="0.25">
      <c r="A22" s="24"/>
      <c r="B22" s="13" t="s">
        <v>19</v>
      </c>
      <c r="C22" s="1" t="s">
        <v>89</v>
      </c>
      <c r="D22" s="1" t="s">
        <v>90</v>
      </c>
      <c r="E22" s="1">
        <v>2</v>
      </c>
      <c r="F22" s="1"/>
      <c r="G22" s="17">
        <v>1023</v>
      </c>
      <c r="H22" s="1">
        <v>1.66</v>
      </c>
      <c r="I22" s="1">
        <v>0.2</v>
      </c>
      <c r="J22" s="6">
        <v>2.1000000000000001E-2</v>
      </c>
      <c r="K22" s="23">
        <f t="shared" si="25"/>
        <v>6.9720000000000008E-3</v>
      </c>
      <c r="L22" s="26">
        <f t="shared" si="26"/>
        <v>1.3944000000000002E-2</v>
      </c>
      <c r="M22" s="26">
        <v>5.8464</v>
      </c>
      <c r="N22" s="36"/>
      <c r="P22" s="2">
        <f t="shared" si="13"/>
        <v>0</v>
      </c>
      <c r="R22" s="2">
        <f t="shared" si="14"/>
        <v>0</v>
      </c>
      <c r="T22" s="2">
        <f t="shared" si="15"/>
        <v>0</v>
      </c>
      <c r="V22" s="2">
        <f t="shared" si="16"/>
        <v>0</v>
      </c>
      <c r="X22" s="2">
        <f t="shared" si="17"/>
        <v>0</v>
      </c>
      <c r="Y22" s="2">
        <v>6</v>
      </c>
      <c r="Z22" s="2">
        <f t="shared" si="18"/>
        <v>12</v>
      </c>
      <c r="AA22" s="2">
        <v>6</v>
      </c>
      <c r="AB22" s="2">
        <f t="shared" si="19"/>
        <v>12</v>
      </c>
      <c r="AD22" s="2">
        <f t="shared" si="20"/>
        <v>0</v>
      </c>
      <c r="AF22" s="2">
        <f t="shared" si="21"/>
        <v>0</v>
      </c>
      <c r="AH22" s="2">
        <f t="shared" si="22"/>
        <v>0</v>
      </c>
      <c r="AJ22" s="2">
        <f t="shared" si="23"/>
        <v>0</v>
      </c>
    </row>
    <row r="23" spans="1:36" s="2" customFormat="1" ht="53.1" customHeight="1" x14ac:dyDescent="0.25">
      <c r="A23" s="24"/>
      <c r="B23" s="13" t="s">
        <v>20</v>
      </c>
      <c r="C23" s="1" t="s">
        <v>91</v>
      </c>
      <c r="D23" s="1" t="s">
        <v>92</v>
      </c>
      <c r="E23" s="1">
        <v>1</v>
      </c>
      <c r="F23" s="1"/>
      <c r="G23" s="17">
        <v>1023</v>
      </c>
      <c r="H23" s="1">
        <v>1.42</v>
      </c>
      <c r="I23" s="1">
        <v>0.2</v>
      </c>
      <c r="J23" s="6">
        <v>2.1000000000000001E-2</v>
      </c>
      <c r="K23" s="23">
        <f t="shared" si="25"/>
        <v>5.9639999999999997E-3</v>
      </c>
      <c r="L23" s="26">
        <f t="shared" si="26"/>
        <v>5.9639999999999997E-3</v>
      </c>
      <c r="M23" s="26">
        <v>5.04</v>
      </c>
      <c r="N23" s="36"/>
      <c r="P23" s="2">
        <f t="shared" si="13"/>
        <v>0</v>
      </c>
      <c r="R23" s="2">
        <f t="shared" si="14"/>
        <v>0</v>
      </c>
      <c r="T23" s="2">
        <f t="shared" si="15"/>
        <v>0</v>
      </c>
      <c r="V23" s="2">
        <f t="shared" si="16"/>
        <v>0</v>
      </c>
      <c r="X23" s="2">
        <f t="shared" si="17"/>
        <v>0</v>
      </c>
      <c r="Y23" s="2">
        <v>6</v>
      </c>
      <c r="Z23" s="2">
        <f t="shared" si="18"/>
        <v>6</v>
      </c>
      <c r="AA23" s="2">
        <v>6</v>
      </c>
      <c r="AB23" s="2">
        <f t="shared" si="19"/>
        <v>6</v>
      </c>
      <c r="AD23" s="2">
        <f t="shared" si="20"/>
        <v>0</v>
      </c>
      <c r="AF23" s="2">
        <f t="shared" si="21"/>
        <v>0</v>
      </c>
      <c r="AH23" s="2">
        <f t="shared" si="22"/>
        <v>0</v>
      </c>
      <c r="AJ23" s="2">
        <f t="shared" si="23"/>
        <v>0</v>
      </c>
    </row>
    <row r="24" spans="1:36" s="2" customFormat="1" ht="45.6" customHeight="1" x14ac:dyDescent="0.25">
      <c r="A24" s="24"/>
      <c r="B24" s="13" t="s">
        <v>28</v>
      </c>
      <c r="C24" s="1" t="s">
        <v>93</v>
      </c>
      <c r="D24" s="1" t="s">
        <v>94</v>
      </c>
      <c r="E24" s="1">
        <v>1</v>
      </c>
      <c r="F24" s="1"/>
      <c r="G24" s="17">
        <v>1023</v>
      </c>
      <c r="H24" s="1">
        <v>1.5</v>
      </c>
      <c r="I24" s="1">
        <v>0.2</v>
      </c>
      <c r="J24" s="6">
        <v>2.1000000000000001E-2</v>
      </c>
      <c r="K24" s="23">
        <f t="shared" si="25"/>
        <v>6.3000000000000009E-3</v>
      </c>
      <c r="L24" s="26">
        <f t="shared" si="26"/>
        <v>6.3000000000000009E-3</v>
      </c>
      <c r="M24" s="26">
        <v>5.8464</v>
      </c>
      <c r="N24" s="36" t="s">
        <v>61</v>
      </c>
      <c r="P24" s="2">
        <f t="shared" si="13"/>
        <v>0</v>
      </c>
      <c r="R24" s="2">
        <f t="shared" si="14"/>
        <v>0</v>
      </c>
      <c r="T24" s="2">
        <f t="shared" si="15"/>
        <v>0</v>
      </c>
      <c r="V24" s="2">
        <f t="shared" si="16"/>
        <v>0</v>
      </c>
      <c r="X24" s="2">
        <f t="shared" si="17"/>
        <v>0</v>
      </c>
      <c r="Y24" s="2">
        <v>2</v>
      </c>
      <c r="Z24" s="2">
        <f t="shared" si="18"/>
        <v>2</v>
      </c>
      <c r="AA24" s="2">
        <v>2</v>
      </c>
      <c r="AB24" s="2">
        <f t="shared" si="19"/>
        <v>2</v>
      </c>
      <c r="AD24" s="2">
        <f t="shared" si="20"/>
        <v>0</v>
      </c>
      <c r="AF24" s="2">
        <f t="shared" si="21"/>
        <v>0</v>
      </c>
      <c r="AH24" s="2">
        <f t="shared" si="22"/>
        <v>0</v>
      </c>
      <c r="AJ24" s="2">
        <f t="shared" si="23"/>
        <v>0</v>
      </c>
    </row>
    <row r="25" spans="1:36" s="2" customFormat="1" ht="66.95" customHeight="1" x14ac:dyDescent="0.25">
      <c r="A25" s="24"/>
      <c r="B25" s="13" t="s">
        <v>29</v>
      </c>
      <c r="C25" s="6" t="s">
        <v>95</v>
      </c>
      <c r="D25" s="6" t="s">
        <v>96</v>
      </c>
      <c r="E25" s="1">
        <v>1</v>
      </c>
      <c r="F25" s="1"/>
      <c r="G25" s="12">
        <v>7015</v>
      </c>
      <c r="H25" s="1">
        <v>1.1000000000000001</v>
      </c>
      <c r="I25" s="1">
        <v>0.04</v>
      </c>
      <c r="J25" s="1">
        <v>0.06</v>
      </c>
      <c r="K25" s="23">
        <f t="shared" si="25"/>
        <v>2.64E-3</v>
      </c>
      <c r="L25" s="26">
        <f t="shared" si="26"/>
        <v>2.64E-3</v>
      </c>
      <c r="M25" s="26">
        <f t="shared" si="26"/>
        <v>0</v>
      </c>
      <c r="N25" s="36" t="s">
        <v>97</v>
      </c>
      <c r="O25" s="59"/>
      <c r="P25" s="2">
        <f t="shared" si="13"/>
        <v>0</v>
      </c>
      <c r="Q25" s="59">
        <v>2</v>
      </c>
      <c r="R25" s="2">
        <f t="shared" si="14"/>
        <v>2</v>
      </c>
      <c r="S25" s="59"/>
      <c r="T25" s="2">
        <f t="shared" si="15"/>
        <v>0</v>
      </c>
      <c r="U25" s="59"/>
      <c r="V25" s="2">
        <f t="shared" si="16"/>
        <v>0</v>
      </c>
      <c r="W25" s="59">
        <v>2</v>
      </c>
      <c r="X25" s="2">
        <f t="shared" si="17"/>
        <v>2</v>
      </c>
      <c r="Y25" s="59"/>
      <c r="Z25" s="2">
        <f t="shared" si="18"/>
        <v>0</v>
      </c>
      <c r="AA25" s="59">
        <v>4</v>
      </c>
      <c r="AB25" s="2">
        <f t="shared" si="19"/>
        <v>4</v>
      </c>
      <c r="AC25" s="59">
        <v>2</v>
      </c>
      <c r="AD25" s="2">
        <f t="shared" si="20"/>
        <v>2</v>
      </c>
      <c r="AF25" s="2">
        <f t="shared" si="21"/>
        <v>0</v>
      </c>
      <c r="AH25" s="2">
        <f t="shared" si="22"/>
        <v>0</v>
      </c>
      <c r="AJ25" s="2">
        <f t="shared" si="23"/>
        <v>0</v>
      </c>
    </row>
    <row r="26" spans="1:36" s="2" customFormat="1" ht="45.95" customHeight="1" x14ac:dyDescent="0.25">
      <c r="A26" s="24"/>
      <c r="B26" s="13" t="s">
        <v>30</v>
      </c>
      <c r="C26" s="6" t="s">
        <v>80</v>
      </c>
      <c r="D26" s="6" t="s">
        <v>79</v>
      </c>
      <c r="E26" s="1">
        <v>2</v>
      </c>
      <c r="F26" s="1"/>
      <c r="G26" s="12">
        <v>7015</v>
      </c>
      <c r="H26" s="1">
        <v>0.6</v>
      </c>
      <c r="I26" s="1">
        <v>2.1000000000000001E-2</v>
      </c>
      <c r="J26" s="1">
        <v>2.1000000000000001E-2</v>
      </c>
      <c r="K26" s="23">
        <f t="shared" ref="K26" si="27">H26*I26*J26</f>
        <v>2.6460000000000003E-4</v>
      </c>
      <c r="L26" s="26">
        <f t="shared" ref="L26" si="28">K26*E26</f>
        <v>5.2920000000000007E-4</v>
      </c>
      <c r="M26" s="26">
        <f t="shared" ref="M26" si="29">L26*F26</f>
        <v>0</v>
      </c>
      <c r="N26" s="36"/>
      <c r="O26" s="59"/>
      <c r="P26" s="2">
        <f t="shared" ref="P26" si="30">O26*E26</f>
        <v>0</v>
      </c>
      <c r="Q26" s="59"/>
      <c r="R26" s="2">
        <f t="shared" ref="R26" si="31">Q26*E26</f>
        <v>0</v>
      </c>
      <c r="S26" s="59"/>
      <c r="T26" s="2">
        <f t="shared" ref="T26" si="32">S26*E26</f>
        <v>0</v>
      </c>
      <c r="U26" s="59"/>
      <c r="V26" s="2">
        <f t="shared" ref="V26" si="33">U26*E26</f>
        <v>0</v>
      </c>
      <c r="W26" s="59"/>
      <c r="X26" s="2">
        <f t="shared" ref="X26" si="34">W26*E26</f>
        <v>0</v>
      </c>
      <c r="Y26" s="59"/>
      <c r="Z26" s="2">
        <f t="shared" ref="Z26" si="35">Y26*E26</f>
        <v>0</v>
      </c>
      <c r="AA26" s="59"/>
      <c r="AB26" s="2">
        <f t="shared" ref="AB26" si="36">AA26*E26</f>
        <v>0</v>
      </c>
      <c r="AC26" s="59"/>
      <c r="AD26" s="2">
        <f t="shared" ref="AD26" si="37">AC26*E26</f>
        <v>0</v>
      </c>
      <c r="AF26" s="2">
        <f t="shared" ref="AF26" si="38">AE26*E26</f>
        <v>0</v>
      </c>
      <c r="AH26" s="2">
        <f t="shared" ref="AH26" si="39">AG26*E26</f>
        <v>0</v>
      </c>
      <c r="AJ26" s="2">
        <f t="shared" ref="AJ26" si="40">AI26*E26</f>
        <v>0</v>
      </c>
    </row>
    <row r="27" spans="1:36" s="2" customFormat="1" ht="86.25" customHeight="1" thickBot="1" x14ac:dyDescent="0.3">
      <c r="A27" s="73"/>
      <c r="B27" s="13" t="s">
        <v>31</v>
      </c>
      <c r="C27" s="11" t="s">
        <v>23</v>
      </c>
      <c r="D27" s="11" t="s">
        <v>14</v>
      </c>
      <c r="E27" s="11">
        <v>16</v>
      </c>
      <c r="F27" s="11"/>
      <c r="G27" s="65">
        <v>7015</v>
      </c>
      <c r="H27" s="11">
        <v>6.2E-2</v>
      </c>
      <c r="I27" s="11">
        <v>6.2E-2</v>
      </c>
      <c r="J27" s="11">
        <v>0.04</v>
      </c>
      <c r="K27" s="35">
        <f>H27*I27*J27</f>
        <v>1.5375999999999999E-4</v>
      </c>
      <c r="L27" s="26">
        <f t="shared" si="3"/>
        <v>2.4601599999999999E-3</v>
      </c>
      <c r="M27" s="26">
        <f t="shared" si="3"/>
        <v>0</v>
      </c>
      <c r="N27" s="36" t="s">
        <v>58</v>
      </c>
      <c r="O27" s="2">
        <v>2</v>
      </c>
      <c r="P27" s="2">
        <f t="shared" si="13"/>
        <v>32</v>
      </c>
      <c r="R27" s="2">
        <f t="shared" si="14"/>
        <v>0</v>
      </c>
      <c r="T27" s="2">
        <f t="shared" ref="T27" si="41">S27*E27</f>
        <v>0</v>
      </c>
      <c r="V27" s="2">
        <f t="shared" ref="V27" si="42">U27*E27</f>
        <v>0</v>
      </c>
      <c r="X27" s="2">
        <f t="shared" ref="X27" si="43">W27*E27</f>
        <v>0</v>
      </c>
      <c r="Z27" s="2">
        <f t="shared" ref="Z27" si="44">Y27*E27</f>
        <v>0</v>
      </c>
      <c r="AA27" s="2">
        <v>2</v>
      </c>
      <c r="AB27" s="2">
        <f t="shared" ref="AB27" si="45">AA27*E27</f>
        <v>32</v>
      </c>
      <c r="AC27" s="2">
        <v>2</v>
      </c>
      <c r="AD27" s="2">
        <f t="shared" ref="AD27" si="46">AC27*E27</f>
        <v>32</v>
      </c>
      <c r="AF27" s="2">
        <f t="shared" ref="AF27" si="47">AE27*E27</f>
        <v>0</v>
      </c>
      <c r="AH27" s="2">
        <f t="shared" ref="AH27" si="48">AG27*E27</f>
        <v>0</v>
      </c>
      <c r="AJ27" s="2">
        <f t="shared" ref="AJ27" si="49">AI27*E27</f>
        <v>0</v>
      </c>
    </row>
    <row r="28" spans="1:36" ht="27" customHeight="1" thickBot="1" x14ac:dyDescent="0.3">
      <c r="A28" s="67"/>
      <c r="B28" s="82" t="s">
        <v>15</v>
      </c>
      <c r="C28" s="83"/>
      <c r="D28" s="83"/>
      <c r="E28" s="83"/>
      <c r="F28" s="83"/>
      <c r="G28" s="83"/>
      <c r="H28" s="83"/>
      <c r="I28" s="83"/>
      <c r="J28" s="83"/>
      <c r="K28" s="84"/>
      <c r="L28" s="26">
        <f t="shared" si="3"/>
        <v>0</v>
      </c>
      <c r="M28" s="26">
        <f t="shared" si="3"/>
        <v>0</v>
      </c>
      <c r="N28" s="44"/>
      <c r="P28" s="2">
        <f t="shared" si="13"/>
        <v>0</v>
      </c>
      <c r="R28" s="2">
        <f t="shared" si="14"/>
        <v>0</v>
      </c>
      <c r="T28" s="2">
        <f t="shared" ref="T28:T30" si="50">S28*E28</f>
        <v>0</v>
      </c>
      <c r="V28" s="2">
        <f t="shared" ref="V28:V30" si="51">U28*E28</f>
        <v>0</v>
      </c>
      <c r="X28" s="2">
        <f t="shared" ref="X28:X30" si="52">W28*E28</f>
        <v>0</v>
      </c>
      <c r="Z28" s="2">
        <f t="shared" ref="Z28:Z30" si="53">Y28*E28</f>
        <v>0</v>
      </c>
      <c r="AB28" s="2">
        <f t="shared" ref="AB28:AB30" si="54">AA28*E28</f>
        <v>0</v>
      </c>
      <c r="AD28" s="2">
        <f t="shared" ref="AD28:AD30" si="55">AC28*E28</f>
        <v>0</v>
      </c>
      <c r="AF28" s="2">
        <f t="shared" ref="AF28:AF30" si="56">AE28*E28</f>
        <v>0</v>
      </c>
      <c r="AH28" s="2">
        <f t="shared" ref="AH28:AH30" si="57">AG28*E28</f>
        <v>0</v>
      </c>
      <c r="AJ28" s="2">
        <f t="shared" ref="AJ28:AJ30" si="58">AI28*E28</f>
        <v>0</v>
      </c>
    </row>
    <row r="29" spans="1:36" ht="58.5" customHeight="1" x14ac:dyDescent="0.25">
      <c r="A29" s="20"/>
      <c r="B29" s="6">
        <v>24</v>
      </c>
      <c r="C29" s="45"/>
      <c r="D29" s="29" t="s">
        <v>98</v>
      </c>
      <c r="E29" s="6">
        <v>48</v>
      </c>
      <c r="F29" s="6"/>
      <c r="G29" s="6" t="s">
        <v>11</v>
      </c>
      <c r="H29" s="6">
        <v>2.7E-2</v>
      </c>
      <c r="I29" s="6">
        <v>2.7E-2</v>
      </c>
      <c r="J29" s="6">
        <v>1.6E-2</v>
      </c>
      <c r="K29" s="21">
        <f t="shared" ref="K29:K30" si="59">H29*I29*J29</f>
        <v>1.1663999999999999E-5</v>
      </c>
      <c r="L29" s="26">
        <f t="shared" si="3"/>
        <v>5.5987199999999989E-4</v>
      </c>
      <c r="M29" s="26">
        <f t="shared" si="3"/>
        <v>0</v>
      </c>
      <c r="N29" s="44"/>
      <c r="P29" s="2">
        <f t="shared" si="13"/>
        <v>0</v>
      </c>
      <c r="R29" s="2">
        <f t="shared" si="14"/>
        <v>0</v>
      </c>
      <c r="T29" s="2">
        <f t="shared" si="50"/>
        <v>0</v>
      </c>
      <c r="V29" s="2">
        <f t="shared" si="51"/>
        <v>0</v>
      </c>
      <c r="X29" s="2">
        <f t="shared" si="52"/>
        <v>0</v>
      </c>
      <c r="Z29" s="2">
        <f t="shared" si="53"/>
        <v>0</v>
      </c>
      <c r="AB29" s="2">
        <f t="shared" si="54"/>
        <v>0</v>
      </c>
      <c r="AD29" s="2">
        <f t="shared" si="55"/>
        <v>0</v>
      </c>
      <c r="AF29" s="2">
        <f t="shared" si="56"/>
        <v>0</v>
      </c>
      <c r="AH29" s="2">
        <f t="shared" si="57"/>
        <v>0</v>
      </c>
      <c r="AJ29" s="2">
        <f t="shared" si="58"/>
        <v>0</v>
      </c>
    </row>
    <row r="30" spans="1:36" ht="66.599999999999994" customHeight="1" thickBot="1" x14ac:dyDescent="0.3">
      <c r="A30" s="20"/>
      <c r="B30" s="1">
        <v>25</v>
      </c>
      <c r="C30" s="25"/>
      <c r="D30" s="29" t="s">
        <v>99</v>
      </c>
      <c r="E30" s="1">
        <v>77</v>
      </c>
      <c r="F30" s="1"/>
      <c r="G30" s="1" t="s">
        <v>11</v>
      </c>
      <c r="H30" s="1">
        <v>3.5999999999999997E-2</v>
      </c>
      <c r="I30" s="1">
        <v>3.5999999999999997E-2</v>
      </c>
      <c r="J30" s="1">
        <v>2.3E-2</v>
      </c>
      <c r="K30" s="52">
        <f t="shared" si="59"/>
        <v>2.9807999999999996E-5</v>
      </c>
      <c r="L30" s="33">
        <f t="shared" si="3"/>
        <v>2.2952159999999997E-3</v>
      </c>
      <c r="M30" s="33">
        <f t="shared" si="3"/>
        <v>0</v>
      </c>
      <c r="N30" s="44"/>
      <c r="P30" s="2">
        <f t="shared" si="13"/>
        <v>0</v>
      </c>
      <c r="R30" s="2">
        <f t="shared" si="14"/>
        <v>0</v>
      </c>
      <c r="T30" s="2">
        <f t="shared" si="50"/>
        <v>0</v>
      </c>
      <c r="V30" s="2">
        <f t="shared" si="51"/>
        <v>0</v>
      </c>
      <c r="X30" s="2">
        <f t="shared" si="52"/>
        <v>0</v>
      </c>
      <c r="Z30" s="2">
        <f t="shared" si="53"/>
        <v>0</v>
      </c>
      <c r="AB30" s="2">
        <f t="shared" si="54"/>
        <v>0</v>
      </c>
      <c r="AD30" s="2">
        <f t="shared" si="55"/>
        <v>0</v>
      </c>
      <c r="AF30" s="2">
        <f t="shared" si="56"/>
        <v>0</v>
      </c>
      <c r="AH30" s="2">
        <f t="shared" si="57"/>
        <v>0</v>
      </c>
      <c r="AJ30" s="2">
        <f t="shared" si="58"/>
        <v>0</v>
      </c>
    </row>
    <row r="31" spans="1:36" customFormat="1" ht="26.1" customHeight="1" thickBot="1" x14ac:dyDescent="0.3">
      <c r="A31" s="85" t="s">
        <v>44</v>
      </c>
      <c r="B31" s="86"/>
      <c r="C31" s="86"/>
      <c r="D31" s="86"/>
      <c r="E31" s="86"/>
      <c r="F31" s="86"/>
      <c r="G31" s="87"/>
      <c r="H31" s="51"/>
      <c r="I31" s="51"/>
      <c r="J31" s="51"/>
      <c r="P31" s="43">
        <f>SUM(P8:P30)</f>
        <v>32</v>
      </c>
      <c r="Q31" s="43"/>
      <c r="R31" s="43">
        <f>SUM(R8:R30)</f>
        <v>16</v>
      </c>
      <c r="S31" s="43"/>
      <c r="T31" s="43">
        <f>SUM(T8:T30)</f>
        <v>0</v>
      </c>
      <c r="U31" s="43"/>
      <c r="V31" s="43">
        <f>SUM(V8:V30)</f>
        <v>0</v>
      </c>
      <c r="W31" s="43"/>
      <c r="X31" s="43">
        <f>SUM(X8:X30)</f>
        <v>20</v>
      </c>
      <c r="Y31" s="43"/>
      <c r="Z31" s="43">
        <f>SUM(Z8:Z30)</f>
        <v>57</v>
      </c>
      <c r="AA31" s="43"/>
      <c r="AB31" s="43">
        <f>SUM(AB8:AB30)</f>
        <v>125</v>
      </c>
      <c r="AC31" s="43"/>
      <c r="AD31" s="43">
        <f>SUM(AD8:AD30)</f>
        <v>52</v>
      </c>
      <c r="AF31" s="43">
        <f>SUM(AF8:AF30)</f>
        <v>0</v>
      </c>
      <c r="AH31" s="43">
        <f>SUM(AH8:AH30)</f>
        <v>0</v>
      </c>
      <c r="AJ31" s="43">
        <f>SUM(AJ8:AJ30)</f>
        <v>0</v>
      </c>
    </row>
    <row r="32" spans="1:36" customFormat="1" ht="18.95" customHeight="1" x14ac:dyDescent="0.25">
      <c r="A32" s="46">
        <v>153</v>
      </c>
      <c r="B32" s="31"/>
      <c r="C32" s="31"/>
      <c r="D32" s="38" t="s">
        <v>43</v>
      </c>
      <c r="E32" s="31">
        <v>32</v>
      </c>
      <c r="F32" s="31"/>
      <c r="G32" s="31"/>
      <c r="H32" s="29"/>
      <c r="I32" s="51"/>
      <c r="J32" s="51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customFormat="1" ht="18.95" customHeight="1" x14ac:dyDescent="0.25">
      <c r="A33" s="47">
        <v>154</v>
      </c>
      <c r="B33" s="29"/>
      <c r="C33" s="29"/>
      <c r="D33" s="30" t="s">
        <v>41</v>
      </c>
      <c r="E33" s="29">
        <v>16</v>
      </c>
      <c r="F33" s="29"/>
      <c r="G33" s="29"/>
      <c r="H33" s="29"/>
      <c r="I33" s="51"/>
      <c r="J33" s="51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customFormat="1" ht="18.95" customHeight="1" x14ac:dyDescent="0.25">
      <c r="A34" s="47">
        <v>158</v>
      </c>
      <c r="B34" s="29"/>
      <c r="C34" s="29"/>
      <c r="D34" s="29" t="s">
        <v>48</v>
      </c>
      <c r="E34" s="29">
        <v>20</v>
      </c>
      <c r="F34" s="29"/>
      <c r="G34" s="29"/>
      <c r="H34" s="29"/>
      <c r="I34" s="51"/>
      <c r="J34" s="51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spans="1:30" customFormat="1" ht="18.95" customHeight="1" x14ac:dyDescent="0.25">
      <c r="A35" s="47">
        <v>159</v>
      </c>
      <c r="B35" s="29"/>
      <c r="C35" s="29"/>
      <c r="D35" s="29" t="s">
        <v>49</v>
      </c>
      <c r="E35" s="29">
        <v>57</v>
      </c>
      <c r="F35" s="29"/>
      <c r="G35" s="29"/>
      <c r="H35" s="29"/>
      <c r="I35" s="51"/>
      <c r="J35" s="51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spans="1:30" customFormat="1" ht="18.95" customHeight="1" x14ac:dyDescent="0.25">
      <c r="A36" s="47">
        <v>162</v>
      </c>
      <c r="B36" s="29"/>
      <c r="C36" s="29"/>
      <c r="D36" s="29" t="s">
        <v>46</v>
      </c>
      <c r="E36" s="29">
        <v>125</v>
      </c>
      <c r="F36" s="29"/>
      <c r="G36" s="29"/>
      <c r="H36" s="29"/>
      <c r="I36" s="51"/>
      <c r="J36" s="51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1:30" customFormat="1" ht="18.95" customHeight="1" x14ac:dyDescent="0.25">
      <c r="A37" s="47">
        <v>165</v>
      </c>
      <c r="B37" s="29"/>
      <c r="C37" s="29"/>
      <c r="D37" s="29" t="s">
        <v>47</v>
      </c>
      <c r="E37" s="29">
        <v>52</v>
      </c>
      <c r="F37" s="29"/>
      <c r="G37" s="29"/>
      <c r="H37" s="29"/>
      <c r="I37" s="51"/>
      <c r="J37" s="51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</sheetData>
  <mergeCells count="6">
    <mergeCell ref="A1:K1"/>
    <mergeCell ref="B4:K4"/>
    <mergeCell ref="B2:K2"/>
    <mergeCell ref="B28:K28"/>
    <mergeCell ref="A31:G31"/>
    <mergeCell ref="B9:K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5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Спецификация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2026-04-23T05:23:10Z</cp:lastPrinted>
  <dcterms:created xsi:type="dcterms:W3CDTF">2017-04-27T07:18:00Z</dcterms:created>
  <dcterms:modified xsi:type="dcterms:W3CDTF">2026-04-23T05:23:34Z</dcterms:modified>
</cp:coreProperties>
</file>