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<sst xmlns="http://schemas.openxmlformats.org/spreadsheetml/2006/main" count="58" uniqueCount="58">
  <si>
    <t>ПСР-1.08</t>
  </si>
  <si>
    <t xml:space="preserve">Размер  2,20*2,20*2,20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</si>
  <si>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</si>
  <si>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</si>
  <si>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</si>
  <si>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</si>
  <si>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</si>
  <si>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</si>
  <si>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</si>
  <si>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</si>
  <si>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</si>
  <si>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</si>
  <si>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>СТОЛБЫ</t>
  </si>
  <si>
    <t>ПСР-1.08.01.005</t>
  </si>
  <si>
    <t xml:space="preserve">Столб (брус 100х100) 1800 мм спиленный под углом</t>
  </si>
  <si>
    <t>Материал</t>
  </si>
  <si>
    <t xml:space="preserve">Цвет, RAL 8014</t>
  </si>
  <si>
    <t>0002МП</t>
  </si>
  <si>
    <t xml:space="preserve">Закладная для столба 100х100</t>
  </si>
  <si>
    <t>Сборка</t>
  </si>
  <si>
    <t xml:space="preserve">Цвет, RAL 7047</t>
  </si>
  <si>
    <t xml:space="preserve">БолтМеб 8х80</t>
  </si>
  <si>
    <t xml:space="preserve">8х80 ОЦ. Болт мебельный с усом ГОСТ 7801-81 (DIN 607)</t>
  </si>
  <si>
    <t>ШайбаМ8</t>
  </si>
  <si>
    <t xml:space="preserve">М8 ОЦ. Шайба ГОСТ 11371-78 (DIN 125)</t>
  </si>
  <si>
    <t>ГайкаМ8</t>
  </si>
  <si>
    <t xml:space="preserve">М8 ОЦ. Гайка шестигранная ГОСТ 5915-70</t>
  </si>
  <si>
    <t>0013МП</t>
  </si>
  <si>
    <t>ПАНЕЛИ</t>
  </si>
  <si>
    <t>000247</t>
  </si>
  <si>
    <t xml:space="preserve">Борт песочницы ромашка 1.08
1000 x 300 x 21 </t>
  </si>
  <si>
    <t xml:space="preserve">Цвет, RAL 2008</t>
  </si>
  <si>
    <t>ШурупГл8х80</t>
  </si>
  <si>
    <t xml:space="preserve">8х80 ОЦ. Шуруп для крепления дер. Лаг (глухарь) DIN 571</t>
  </si>
  <si>
    <t>000246</t>
  </si>
  <si>
    <t xml:space="preserve">Панель песочницы ромашка 1.08
843 x 950 x 21 </t>
  </si>
  <si>
    <t xml:space="preserve">Цвет, RAL 6018</t>
  </si>
  <si>
    <t>000245</t>
  </si>
  <si>
    <t xml:space="preserve">Крыша ромашка 1.08
1190 x 1085 x 15 </t>
  </si>
  <si>
    <t>000128</t>
  </si>
  <si>
    <t xml:space="preserve">Колесо малое 350 6.12
350 x 350 x 15 </t>
  </si>
  <si>
    <t>000248</t>
  </si>
  <si>
    <t xml:space="preserve">Соединитель цветок 1.08
297 x 297 x 15 </t>
  </si>
  <si>
    <t xml:space="preserve">БолтМеб 6х50</t>
  </si>
  <si>
    <t xml:space="preserve">6х50 ОЦ. Болт мебельный с усом ГОСТ 7801-81 (DIN 607)</t>
  </si>
  <si>
    <t>ГайкаМ6</t>
  </si>
  <si>
    <t xml:space="preserve">М6 ОЦ. Гайка шестигранная ГОСТ 5915-70</t>
  </si>
  <si>
    <t>00.006.001</t>
  </si>
  <si>
    <t xml:space="preserve">Уголок 55х55х40</t>
  </si>
  <si>
    <t xml:space="preserve">БолтМеб 6х40</t>
  </si>
  <si>
    <t xml:space="preserve">6х40 ОЦ. Болт мебельный с усом ГОСТ 7801-81 (DIN 607)</t>
  </si>
  <si>
    <t>0215МП</t>
  </si>
  <si>
    <t xml:space="preserve">Опора ПСР-1.08</t>
  </si>
  <si>
    <t>КЧМ6КС</t>
  </si>
  <si>
    <t xml:space="preserve">Заглушка К4М6КС</t>
  </si>
  <si>
    <t xml:space="preserve">Цвет, RAL черный</t>
  </si>
  <si>
    <t>КЧМ8КС</t>
  </si>
  <si>
    <t xml:space="preserve">Заглушка К4М8КС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</si>
</sst>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_-* #,##0.00\ _₽_-;\-* #,##0.00\ _₽_-;_-* &quot;-&quot;??\ _₽_-;_-@_-"/>
    <numFmt numFmtId="161" formatCode="_-* #,##0.0000\ _₽_-;\-* #,##0.0000\ _₽_-;_-* &quot;-&quot;??\ _₽_-;_-@_-"/>
    <numFmt numFmtId="162" formatCode="0.000"/>
  </numFmts>
  <fonts count="21">
    <font>
      <sz val="11.000000"/>
      <color theme="1"/>
      <name val="Calibri"/>
      <scheme val="minor"/>
    </font>
    <font>
      <i/>
      <sz val="10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i/>
      <sz val="12.000000"/>
      <color theme="1"/>
      <name val="Arial"/>
    </font>
    <font>
      <b/>
      <i/>
      <sz val="12.000000"/>
      <color theme="1"/>
      <name val="Arial"/>
    </font>
    <font>
      <sz val="10.000000"/>
      <color theme="1"/>
      <name val="Arial"/>
    </font>
    <font>
      <b/>
      <sz val="14.000000"/>
      <color theme="1"/>
      <name val="Arial"/>
    </font>
    <font>
      <b/>
      <sz val="12.000000"/>
      <color theme="1"/>
      <name val="Arial"/>
    </font>
    <font>
      <sz val="12.000000"/>
      <color theme="1"/>
      <name val="Arial"/>
    </font>
    <font>
      <sz val="12.000000"/>
      <color theme="0"/>
      <name val="Calibri"/>
      <scheme val="minor"/>
    </font>
    <font>
      <b/>
      <i/>
      <sz val="11.000000"/>
      <color theme="1"/>
      <name val="Arial"/>
    </font>
    <font>
      <b/>
      <sz val="12.000000"/>
      <name val="Calibri"/>
      <scheme val="minor"/>
    </font>
    <font>
      <b/>
      <i/>
      <sz val="10.000000"/>
      <color theme="1"/>
      <name val="Arial"/>
    </font>
    <font>
      <sz val="12.000000"/>
      <name val="Arial"/>
    </font>
    <font>
      <sz val="11.000000"/>
      <name val="Calibri"/>
      <scheme val="minor"/>
    </font>
    <font>
      <sz val="12.000000"/>
      <color theme="1"/>
      <name val="Calibri"/>
      <scheme val="minor"/>
    </font>
    <font>
      <sz val="12.000000"/>
      <name val="Calibri"/>
      <scheme val="minor"/>
    </font>
    <font>
      <sz val="11.00000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663300"/>
        <bgColor rgb="FF6633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24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75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/>
    <xf fontId="6" fillId="0" borderId="8" numFmtId="0" xfId="0" applyFont="1" applyBorder="1" applyAlignment="1">
      <alignment horizontal="center" vertical="center"/>
    </xf>
    <xf fontId="6" fillId="0" borderId="9" numFmtId="0" xfId="0" applyFont="1" applyBorder="1" applyAlignment="1">
      <alignment horizontal="center" vertical="center"/>
    </xf>
    <xf fontId="6" fillId="0" borderId="9" numFmtId="0" xfId="0" applyFont="1" applyBorder="1" applyAlignment="1">
      <alignment horizontal="left" indent="1" vertical="center" wrapText="1"/>
    </xf>
    <xf fontId="6" fillId="0" borderId="9" numFmtId="0" xfId="0" applyFont="1" applyBorder="1" applyAlignment="1">
      <alignment horizontal="center" vertical="center" wrapText="1"/>
    </xf>
    <xf fontId="6" fillId="0" borderId="10" numFmtId="161" xfId="1" applyNumberFormat="1" applyFont="1" applyBorder="1" applyAlignment="1">
      <alignment horizontal="center" vertical="center" wrapText="1"/>
    </xf>
    <xf fontId="5" fillId="0" borderId="11" numFmtId="0" xfId="0" applyFont="1" applyBorder="1"/>
    <xf fontId="7" fillId="3" borderId="8" numFmtId="0" xfId="0" applyFont="1" applyFill="1" applyBorder="1" applyAlignment="1">
      <alignment horizontal="center" vertical="center"/>
    </xf>
    <xf fontId="7" fillId="3" borderId="9" numFmtId="0" xfId="0" applyFont="1" applyFill="1" applyBorder="1" applyAlignment="1">
      <alignment horizontal="center" vertical="center"/>
    </xf>
    <xf fontId="7" fillId="3" borderId="12" numFmtId="0" xfId="0" applyFont="1" applyFill="1" applyBorder="1" applyAlignment="1">
      <alignment horizontal="center" vertical="center"/>
    </xf>
    <xf fontId="7" fillId="3" borderId="13" numFmtId="0" xfId="0" applyFont="1" applyFill="1" applyBorder="1" applyAlignment="1">
      <alignment horizontal="center" vertical="center"/>
    </xf>
    <xf fontId="8" fillId="0" borderId="0" numFmtId="0" xfId="0" applyFont="1" applyAlignment="1">
      <alignment horizontal="center" vertical="center" wrapText="1"/>
    </xf>
    <xf fontId="9" fillId="4" borderId="0" numFmtId="0" xfId="0" applyFont="1" applyFill="1" applyAlignment="1">
      <alignment horizontal="center" textRotation="90" vertical="center" wrapText="1"/>
    </xf>
    <xf fontId="10" fillId="0" borderId="14" numFmtId="0" xfId="0" applyFont="1" applyBorder="1" applyAlignment="1">
      <alignment horizontal="center" vertical="center" wrapText="1"/>
    </xf>
    <xf fontId="10" fillId="0" borderId="14" numFmtId="49" xfId="0" applyNumberFormat="1" applyFont="1" applyBorder="1" applyAlignment="1">
      <alignment horizontal="center" vertical="center" wrapText="1"/>
    </xf>
    <xf fontId="3" fillId="0" borderId="14" numFmtId="0" xfId="0" applyFont="1" applyBorder="1" applyAlignment="1">
      <alignment horizontal="left" vertical="center" wrapText="1"/>
    </xf>
    <xf fontId="3" fillId="0" borderId="14" numFmtId="0" xfId="0" applyFont="1" applyBorder="1" applyAlignment="1">
      <alignment horizontal="center" vertical="center" wrapText="1"/>
    </xf>
    <xf fontId="7" fillId="0" borderId="14" numFmtId="0" xfId="0" applyFont="1" applyBorder="1" applyAlignment="1">
      <alignment horizontal="center" vertical="center" wrapText="1"/>
    </xf>
    <xf fontId="11" fillId="0" borderId="15" numFmtId="0" xfId="0" applyFont="1" applyBorder="1" applyAlignment="1">
      <alignment horizontal="center" vertical="center" wrapText="1"/>
    </xf>
    <xf fontId="12" fillId="5" borderId="14" numFmtId="0" xfId="0" applyFont="1" applyFill="1" applyBorder="1" applyAlignment="1">
      <alignment horizontal="center" vertical="center"/>
    </xf>
    <xf fontId="11" fillId="0" borderId="16" numFmtId="162" xfId="0" applyNumberFormat="1" applyFont="1" applyBorder="1" applyAlignment="1">
      <alignment horizontal="center" vertical="center" wrapText="1"/>
    </xf>
    <xf fontId="13" fillId="0" borderId="14" numFmtId="0" xfId="0" applyFont="1" applyBorder="1" applyAlignment="1">
      <alignment horizontal="center" vertical="center" wrapText="1"/>
    </xf>
    <xf fontId="14" fillId="0" borderId="14" numFmtId="0" xfId="0" applyFont="1" applyBorder="1" applyAlignment="1">
      <alignment horizontal="center" vertical="center" wrapText="1"/>
    </xf>
    <xf fontId="15" fillId="0" borderId="14" numFmtId="0" xfId="0" applyFont="1" applyBorder="1" applyAlignment="1">
      <alignment horizontal="center" vertical="center" wrapText="1"/>
    </xf>
    <xf fontId="11" fillId="0" borderId="14" numFmtId="0" xfId="0" applyFont="1" applyBorder="1" applyAlignment="1">
      <alignment horizontal="center" vertical="center" wrapText="1"/>
    </xf>
    <xf fontId="16" fillId="4" borderId="14" numFmtId="0" xfId="0" applyFont="1" applyFill="1" applyBorder="1" applyAlignment="1">
      <alignment horizontal="center" vertical="center"/>
    </xf>
    <xf fontId="17" fillId="0" borderId="14" numFmtId="0" xfId="0" applyFont="1" applyBorder="1" applyAlignment="1">
      <alignment horizontal="center" vertical="center"/>
    </xf>
    <xf fontId="18" fillId="0" borderId="0" numFmtId="0" xfId="0" applyFont="1" applyAlignment="1">
      <alignment horizontal="center" vertical="center" wrapText="1"/>
    </xf>
    <xf fontId="14" fillId="3" borderId="5" numFmtId="0" xfId="0" applyFont="1" applyFill="1" applyBorder="1" applyAlignment="1">
      <alignment horizontal="center" textRotation="90" vertical="center" wrapText="1"/>
    </xf>
    <xf fontId="19" fillId="0" borderId="14" numFmtId="0" xfId="0" applyFont="1" applyBorder="1" applyAlignment="1">
      <alignment horizontal="center" vertical="center" wrapText="1"/>
    </xf>
    <xf fontId="18" fillId="0" borderId="14" numFmtId="0" xfId="0" applyFont="1" applyBorder="1" applyAlignment="1">
      <alignment horizontal="center" vertical="center" wrapText="1"/>
    </xf>
    <xf fontId="19" fillId="0" borderId="14" numFmtId="0" xfId="0" applyFont="1" applyBorder="1" applyAlignment="1">
      <alignment horizontal="center" vertical="center"/>
    </xf>
    <xf fontId="14" fillId="0" borderId="17" numFmtId="0" xfId="0" applyFont="1" applyBorder="1" applyAlignment="1">
      <alignment horizontal="center" textRotation="90" vertical="center" wrapText="1"/>
    </xf>
    <xf fontId="14" fillId="0" borderId="14" numFmtId="0" xfId="0" applyFont="1" applyBorder="1" applyAlignment="1">
      <alignment horizontal="center" vertical="center"/>
    </xf>
    <xf fontId="19" fillId="4" borderId="14" numFmtId="0" xfId="0" applyFont="1" applyFill="1" applyBorder="1" applyAlignment="1">
      <alignment horizontal="center" vertical="center" wrapText="1"/>
    </xf>
    <xf fontId="7" fillId="3" borderId="18" numFmtId="0" xfId="0" applyFont="1" applyFill="1" applyBorder="1" applyAlignment="1">
      <alignment horizontal="center" vertical="center"/>
    </xf>
    <xf fontId="10" fillId="0" borderId="19" numFmtId="0" xfId="0" applyFont="1" applyBorder="1" applyAlignment="1">
      <alignment horizontal="center" vertical="center" wrapText="1"/>
    </xf>
    <xf fontId="10" fillId="0" borderId="15" numFmtId="49" xfId="0" applyNumberFormat="1" applyFont="1" applyBorder="1" applyAlignment="1">
      <alignment horizontal="center" vertical="center" wrapText="1"/>
    </xf>
    <xf fontId="7" fillId="0" borderId="15" numFmtId="0" xfId="0" applyFont="1" applyBorder="1" applyAlignment="1">
      <alignment horizontal="left" indent="1" vertical="center" wrapText="1"/>
    </xf>
    <xf fontId="7" fillId="0" borderId="15" numFmtId="0" xfId="0" applyFont="1" applyBorder="1" applyAlignment="1">
      <alignment horizontal="center" vertical="center" wrapText="1"/>
    </xf>
    <xf fontId="19" fillId="6" borderId="14" numFmtId="0" xfId="0" applyFont="1" applyFill="1" applyBorder="1" applyAlignment="1">
      <alignment horizontal="center" vertical="center"/>
    </xf>
    <xf fontId="19" fillId="3" borderId="5" numFmtId="0" xfId="0" applyFont="1" applyFill="1" applyBorder="1" applyAlignment="1">
      <alignment horizontal="center" textRotation="90" vertical="center" wrapText="1"/>
    </xf>
    <xf fontId="18" fillId="0" borderId="14" numFmtId="0" xfId="0" applyFont="1" applyBorder="1" applyAlignment="1">
      <alignment horizontal="center" vertical="center"/>
    </xf>
    <xf fontId="10" fillId="0" borderId="20" numFmtId="0" xfId="0" applyFont="1" applyBorder="1" applyAlignment="1">
      <alignment horizontal="center" vertical="center" wrapText="1"/>
    </xf>
    <xf fontId="7" fillId="0" borderId="14" numFmtId="0" xfId="0" applyFont="1" applyBorder="1" applyAlignment="1">
      <alignment horizontal="left" indent="1" vertical="center" wrapText="1"/>
    </xf>
    <xf fontId="19" fillId="7" borderId="14" numFmtId="0" xfId="0" applyFont="1" applyFill="1" applyBorder="1" applyAlignment="1">
      <alignment horizontal="center" vertical="center"/>
    </xf>
    <xf fontId="11" fillId="0" borderId="21" numFmtId="162" xfId="0" applyNumberFormat="1" applyFont="1" applyBorder="1" applyAlignment="1">
      <alignment horizontal="center" vertical="center" wrapText="1"/>
    </xf>
    <xf fontId="18" fillId="4" borderId="14" numFmtId="0" xfId="0" applyFont="1" applyFill="1" applyBorder="1" applyAlignment="1">
      <alignment horizontal="center" vertical="center" wrapText="1"/>
    </xf>
    <xf fontId="8" fillId="0" borderId="14" numFmtId="0" xfId="0" applyFont="1" applyBorder="1" applyAlignment="1">
      <alignment horizontal="center" vertical="center" wrapText="1"/>
    </xf>
    <xf fontId="20" fillId="0" borderId="14" numFmtId="0" xfId="0" applyFont="1" applyBorder="1" applyAlignment="1">
      <alignment horizontal="center" vertical="center" wrapText="1"/>
    </xf>
    <xf fontId="20" fillId="0" borderId="21" numFmtId="162" xfId="0" applyNumberFormat="1" applyFont="1" applyBorder="1" applyAlignment="1">
      <alignment horizontal="center" vertical="center" wrapText="1"/>
    </xf>
    <xf fontId="18" fillId="0" borderId="22" numFmtId="0" xfId="0" applyFont="1" applyBorder="1"/>
    <xf fontId="5" fillId="0" borderId="23" numFmtId="0" xfId="0" applyFont="1" applyBorder="1"/>
    <xf fontId="7" fillId="3" borderId="18" numFmtId="0" xfId="0" applyFont="1" applyFill="1" applyBorder="1" applyAlignment="1">
      <alignment horizontal="center" vertical="center" wrapText="1"/>
    </xf>
    <xf fontId="7" fillId="3" borderId="12" numFmtId="0" xfId="0" applyFont="1" applyFill="1" applyBorder="1" applyAlignment="1">
      <alignment horizontal="center" vertical="center" wrapText="1"/>
    </xf>
    <xf fontId="7" fillId="3" borderId="13" numFmtId="0" xfId="0" applyFont="1" applyFill="1" applyBorder="1" applyAlignment="1">
      <alignment horizontal="center" vertical="center" wrapText="1"/>
    </xf>
    <xf fontId="5" fillId="0" borderId="22" numFmtId="0" xfId="0" applyFont="1" applyBorder="1" applyAlignment="1">
      <alignment horizontal="center" vertical="center"/>
    </xf>
    <xf fontId="7" fillId="0" borderId="15" numFmtId="0" xfId="0" applyFont="1" applyBorder="1" applyAlignment="1">
      <alignment horizontal="center" vertical="center"/>
    </xf>
    <xf fontId="6" fillId="0" borderId="15" numFmtId="0" xfId="0" applyFont="1" applyBorder="1"/>
    <xf fontId="6" fillId="0" borderId="15" numFmtId="0" xfId="0" applyFont="1" applyBorder="1" applyAlignment="1">
      <alignment horizontal="center" vertical="center"/>
    </xf>
    <xf fontId="3" fillId="0" borderId="14" numFmtId="0" xfId="0" applyFont="1" applyBorder="1" applyAlignment="1">
      <alignment horizontal="center" vertical="center"/>
    </xf>
    <xf fontId="18" fillId="0" borderId="14" numFmtId="0" xfId="0" applyFont="1" applyBorder="1"/>
    <xf fontId="10" fillId="0" borderId="3" numFmt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pn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png"/><Relationship Id="rId12" Type="http://schemas.openxmlformats.org/officeDocument/2006/relationships/image" Target="../media/image12.jpg"/><Relationship Id="rId13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6</xdr:col>
      <xdr:colOff>244928</xdr:colOff>
      <xdr:row>12</xdr:row>
      <xdr:rowOff>68037</xdr:rowOff>
    </xdr:from>
    <xdr:to>
      <xdr:col>6</xdr:col>
      <xdr:colOff>1592034</xdr:colOff>
      <xdr:row>12</xdr:row>
      <xdr:rowOff>534261</xdr:rowOff>
    </xdr:to>
    <xdr:pic>
      <xdr:nvPicPr>
        <xdr:cNvPr id="2" name="Рисунок 1" descr="039-3017 (Фрезеровка) Model (1).jpg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5374821" y="7633608"/>
          <a:ext cx="1347107" cy="466224"/>
        </a:xfrm>
        <a:prstGeom prst="rect">
          <a:avLst/>
        </a:prstGeom>
      </xdr:spPr>
    </xdr:pic>
    <xdr:clientData/>
  </xdr:twoCellAnchor>
  <xdr:twoCellAnchor editAs="oneCell">
    <xdr:from>
      <xdr:col>6</xdr:col>
      <xdr:colOff>437910</xdr:colOff>
      <xdr:row>15</xdr:row>
      <xdr:rowOff>108856</xdr:rowOff>
    </xdr:from>
    <xdr:to>
      <xdr:col>6</xdr:col>
      <xdr:colOff>1238250</xdr:colOff>
      <xdr:row>15</xdr:row>
      <xdr:rowOff>1003972</xdr:rowOff>
    </xdr:to>
    <xdr:pic>
      <xdr:nvPicPr>
        <xdr:cNvPr id="3" name="Рисунок 2" descr="039-3017 (Фрезеровка) Model (1).jpg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5567803" y="8354785"/>
          <a:ext cx="800340" cy="895117"/>
        </a:xfrm>
        <a:prstGeom prst="rect">
          <a:avLst/>
        </a:prstGeom>
      </xdr:spPr>
    </xdr:pic>
    <xdr:clientData/>
  </xdr:twoCellAnchor>
  <xdr:twoCellAnchor editAs="oneCell">
    <xdr:from>
      <xdr:col>6</xdr:col>
      <xdr:colOff>462642</xdr:colOff>
      <xdr:row>18</xdr:row>
      <xdr:rowOff>90126</xdr:rowOff>
    </xdr:from>
    <xdr:to>
      <xdr:col>6</xdr:col>
      <xdr:colOff>1333499</xdr:colOff>
      <xdr:row>18</xdr:row>
      <xdr:rowOff>1028372</xdr:rowOff>
    </xdr:to>
    <xdr:pic>
      <xdr:nvPicPr>
        <xdr:cNvPr id="4" name="Рисунок 3" descr="039-3017 (Фрезеровка) Model (1).jpg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5592534" y="9451841"/>
          <a:ext cx="870857" cy="938245"/>
        </a:xfrm>
        <a:prstGeom prst="rect">
          <a:avLst/>
        </a:prstGeom>
      </xdr:spPr>
    </xdr:pic>
    <xdr:clientData/>
  </xdr:twoCellAnchor>
  <xdr:twoCellAnchor editAs="twoCell">
    <xdr:from>
      <xdr:col>6</xdr:col>
      <xdr:colOff>571500</xdr:colOff>
      <xdr:row>21</xdr:row>
      <xdr:rowOff>122464</xdr:rowOff>
    </xdr:from>
    <xdr:to>
      <xdr:col>6</xdr:col>
      <xdr:colOff>1126185</xdr:colOff>
      <xdr:row>21</xdr:row>
      <xdr:rowOff>681414</xdr:rowOff>
    </xdr:to>
    <xdr:pic>
      <xdr:nvPicPr>
        <xdr:cNvPr id="6" name="Picture 9"/>
        <xdr:cNvPicPr>
          <a:picLocks noChangeAspect="1" noChangeArrowheads="1"/>
        </xdr:cNvPicPr>
      </xdr:nvPicPr>
      <xdr:blipFill>
        <a:blip r:embed="rId4"/>
        <a:stretch/>
      </xdr:blipFill>
      <xdr:spPr bwMode="auto">
        <a:xfrm>
          <a:off x="5701393" y="10599964"/>
          <a:ext cx="554685" cy="558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585107</xdr:colOff>
      <xdr:row>22</xdr:row>
      <xdr:rowOff>122464</xdr:rowOff>
    </xdr:from>
    <xdr:to>
      <xdr:col>6</xdr:col>
      <xdr:colOff>1139792</xdr:colOff>
      <xdr:row>22</xdr:row>
      <xdr:rowOff>681414</xdr:rowOff>
    </xdr:to>
    <xdr:pic>
      <xdr:nvPicPr>
        <xdr:cNvPr id="7" name="Picture 9"/>
        <xdr:cNvPicPr>
          <a:picLocks noChangeAspect="1" noChangeArrowheads="1"/>
        </xdr:cNvPicPr>
      </xdr:nvPicPr>
      <xdr:blipFill>
        <a:blip r:embed="rId4"/>
        <a:stretch/>
      </xdr:blipFill>
      <xdr:spPr bwMode="auto">
        <a:xfrm>
          <a:off x="5715000" y="11402785"/>
          <a:ext cx="554685" cy="558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639535</xdr:colOff>
      <xdr:row>23</xdr:row>
      <xdr:rowOff>54429</xdr:rowOff>
    </xdr:from>
    <xdr:to>
      <xdr:col>6</xdr:col>
      <xdr:colOff>1133314</xdr:colOff>
      <xdr:row>23</xdr:row>
      <xdr:rowOff>552289</xdr:rowOff>
    </xdr:to>
    <xdr:pic>
      <xdr:nvPicPr>
        <xdr:cNvPr id="8" name="Picture 9"/>
        <xdr:cNvPicPr>
          <a:picLocks noChangeAspect="1" noChangeArrowheads="1"/>
        </xdr:cNvPicPr>
      </xdr:nvPicPr>
      <xdr:blipFill>
        <a:blip r:embed="rId5"/>
        <a:stretch/>
      </xdr:blipFill>
      <xdr:spPr bwMode="auto">
        <a:xfrm>
          <a:off x="5769428" y="12137572"/>
          <a:ext cx="493779" cy="4978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474271</xdr:colOff>
      <xdr:row>32</xdr:row>
      <xdr:rowOff>95249</xdr:rowOff>
    </xdr:from>
    <xdr:to>
      <xdr:col>6</xdr:col>
      <xdr:colOff>1319892</xdr:colOff>
      <xdr:row>32</xdr:row>
      <xdr:rowOff>1473981</xdr:rowOff>
    </xdr:to>
    <xdr:pic>
      <xdr:nvPicPr>
        <xdr:cNvPr id="9" name="Рисунок 8" descr="039-3017 (Фрезеровка) Model (1).jpg"/>
        <xdr:cNvPicPr>
          <a:picLocks noChangeAspect="1"/>
        </xdr:cNvPicPr>
      </xdr:nvPicPr>
      <xdr:blipFill>
        <a:blip r:embed="rId6"/>
        <a:stretch/>
      </xdr:blipFill>
      <xdr:spPr bwMode="auto">
        <a:xfrm>
          <a:off x="5604164" y="13498285"/>
          <a:ext cx="845621" cy="1378732"/>
        </a:xfrm>
        <a:prstGeom prst="rect">
          <a:avLst/>
        </a:prstGeom>
      </xdr:spPr>
    </xdr:pic>
    <xdr:clientData/>
  </xdr:twoCellAnchor>
  <xdr:twoCellAnchor editAs="oneCell">
    <xdr:from>
      <xdr:col>6</xdr:col>
      <xdr:colOff>620324</xdr:colOff>
      <xdr:row>37</xdr:row>
      <xdr:rowOff>95250</xdr:rowOff>
    </xdr:from>
    <xdr:to>
      <xdr:col>6</xdr:col>
      <xdr:colOff>1219987</xdr:colOff>
      <xdr:row>37</xdr:row>
      <xdr:rowOff>700366</xdr:rowOff>
    </xdr:to>
    <xdr:pic>
      <xdr:nvPicPr>
        <xdr:cNvPr id="10" name="Picture 2"/>
        <xdr:cNvPicPr>
          <a:picLocks noChangeAspect="1" noChangeArrowheads="1"/>
        </xdr:cNvPicPr>
      </xdr:nvPicPr>
      <xdr:blipFill>
        <a:blip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50217" y="1506310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408215</xdr:colOff>
      <xdr:row>38</xdr:row>
      <xdr:rowOff>37940</xdr:rowOff>
    </xdr:from>
    <xdr:to>
      <xdr:col>6</xdr:col>
      <xdr:colOff>1241081</xdr:colOff>
      <xdr:row>38</xdr:row>
      <xdr:rowOff>842925</xdr:rowOff>
    </xdr:to>
    <xdr:pic>
      <xdr:nvPicPr>
        <xdr:cNvPr id="11" name="Picture 2"/>
        <xdr:cNvPicPr>
          <a:picLocks noChangeAspect="1" noChangeArrowheads="1"/>
        </xdr:cNvPicPr>
      </xdr:nvPicPr>
      <xdr:blipFill>
        <a:blip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538108" y="15754191"/>
          <a:ext cx="832866" cy="804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176894</xdr:colOff>
      <xdr:row>2</xdr:row>
      <xdr:rowOff>133735</xdr:rowOff>
    </xdr:from>
    <xdr:to>
      <xdr:col>3</xdr:col>
      <xdr:colOff>2068286</xdr:colOff>
      <xdr:row>2</xdr:row>
      <xdr:rowOff>3877908</xdr:rowOff>
    </xdr:to>
    <xdr:pic>
      <xdr:nvPicPr>
        <xdr:cNvPr id="13" name="Рисунок 12" descr="039-3017 (Фрезеровка) Model (1).jpg"/>
        <xdr:cNvPicPr>
          <a:picLocks noChangeAspect="1"/>
        </xdr:cNvPicPr>
      </xdr:nvPicPr>
      <xdr:blipFill>
        <a:blip r:embed="rId8"/>
        <a:stretch/>
      </xdr:blipFill>
      <xdr:spPr bwMode="auto">
        <a:xfrm>
          <a:off x="176894" y="650806"/>
          <a:ext cx="3497035" cy="3744174"/>
        </a:xfrm>
        <a:prstGeom prst="rect">
          <a:avLst/>
        </a:prstGeom>
      </xdr:spPr>
    </xdr:pic>
    <xdr:clientData/>
  </xdr:twoCellAnchor>
  <xdr:twoCellAnchor editAs="oneCell">
    <xdr:from>
      <xdr:col>3</xdr:col>
      <xdr:colOff>2095499</xdr:colOff>
      <xdr:row>2</xdr:row>
      <xdr:rowOff>99632</xdr:rowOff>
    </xdr:from>
    <xdr:to>
      <xdr:col>5</xdr:col>
      <xdr:colOff>68035</xdr:colOff>
      <xdr:row>2</xdr:row>
      <xdr:rowOff>3814671</xdr:rowOff>
    </xdr:to>
    <xdr:pic>
      <xdr:nvPicPr>
        <xdr:cNvPr id="14" name="Рисунок 13" descr="039-3017 (Фрезеровка) Model (1).jpg"/>
        <xdr:cNvPicPr>
          <a:picLocks noChangeAspect="1"/>
        </xdr:cNvPicPr>
      </xdr:nvPicPr>
      <xdr:blipFill>
        <a:blip r:embed="rId9"/>
        <a:stretch/>
      </xdr:blipFill>
      <xdr:spPr bwMode="auto">
        <a:xfrm>
          <a:off x="3701142" y="616703"/>
          <a:ext cx="3469822" cy="3715039"/>
        </a:xfrm>
        <a:prstGeom prst="rect">
          <a:avLst/>
        </a:prstGeom>
      </xdr:spPr>
    </xdr:pic>
    <xdr:clientData/>
  </xdr:twoCellAnchor>
  <xdr:twoCellAnchor editAs="oneCell">
    <xdr:from>
      <xdr:col>7</xdr:col>
      <xdr:colOff>285749</xdr:colOff>
      <xdr:row>2</xdr:row>
      <xdr:rowOff>136070</xdr:rowOff>
    </xdr:from>
    <xdr:to>
      <xdr:col>11</xdr:col>
      <xdr:colOff>355023</xdr:colOff>
      <xdr:row>2</xdr:row>
      <xdr:rowOff>3851109</xdr:rowOff>
    </xdr:to>
    <xdr:pic>
      <xdr:nvPicPr>
        <xdr:cNvPr id="15" name="Рисунок 14" descr="039-3017 (Фрезеровка) Model (1).jpg"/>
        <xdr:cNvPicPr>
          <a:picLocks noChangeAspect="1"/>
        </xdr:cNvPicPr>
      </xdr:nvPicPr>
      <xdr:blipFill>
        <a:blip r:embed="rId10"/>
        <a:stretch/>
      </xdr:blipFill>
      <xdr:spPr bwMode="auto">
        <a:xfrm>
          <a:off x="7198178" y="653142"/>
          <a:ext cx="3469822" cy="3715038"/>
        </a:xfrm>
        <a:prstGeom prst="rect">
          <a:avLst/>
        </a:prstGeom>
      </xdr:spPr>
    </xdr:pic>
    <xdr:clientData/>
  </xdr:twoCellAnchor>
  <xdr:twoCellAnchor editAs="oneCell">
    <xdr:from>
      <xdr:col>6</xdr:col>
      <xdr:colOff>193964</xdr:colOff>
      <xdr:row>10</xdr:row>
      <xdr:rowOff>124693</xdr:rowOff>
    </xdr:from>
    <xdr:to>
      <xdr:col>6</xdr:col>
      <xdr:colOff>1475511</xdr:colOff>
      <xdr:row>10</xdr:row>
      <xdr:rowOff>692727</xdr:rowOff>
    </xdr:to>
    <xdr:pic>
      <xdr:nvPicPr>
        <xdr:cNvPr id="16" name="Рисунок 15"/>
        <xdr:cNvPicPr>
          <a:picLocks noChangeAspect="1"/>
        </xdr:cNvPicPr>
      </xdr:nvPicPr>
      <xdr:blipFill>
        <a:blip r:embed="rId11"/>
        <a:srcRect l="42467" t="7938" r="39349" b="18099"/>
        <a:stretch/>
      </xdr:blipFill>
      <xdr:spPr bwMode="auto">
        <a:xfrm rot="5400000" flipH="1">
          <a:off x="8447812" y="6314210"/>
          <a:ext cx="568034" cy="1281546"/>
        </a:xfrm>
        <a:prstGeom prst="rect">
          <a:avLst/>
        </a:prstGeom>
      </xdr:spPr>
    </xdr:pic>
    <xdr:clientData/>
  </xdr:twoCellAnchor>
  <xdr:twoCellAnchor editAs="twoCell">
    <xdr:from>
      <xdr:col>6</xdr:col>
      <xdr:colOff>398318</xdr:colOff>
      <xdr:row>27</xdr:row>
      <xdr:rowOff>86591</xdr:rowOff>
    </xdr:from>
    <xdr:to>
      <xdr:col>6</xdr:col>
      <xdr:colOff>1209058</xdr:colOff>
      <xdr:row>27</xdr:row>
      <xdr:rowOff>1160318</xdr:rowOff>
    </xdr:to>
    <xdr:pic>
      <xdr:nvPicPr>
        <xdr:cNvPr id="17" name="Picture 9"/>
        <xdr:cNvPicPr>
          <a:picLocks noChangeAspect="1" noChangeArrowheads="1"/>
        </xdr:cNvPicPr>
      </xdr:nvPicPr>
      <xdr:blipFill>
        <a:blip r:embed="rId12"/>
        <a:stretch/>
      </xdr:blipFill>
      <xdr:spPr bwMode="auto">
        <a:xfrm>
          <a:off x="7627793" y="24022916"/>
          <a:ext cx="810740" cy="1073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71563</xdr:colOff>
      <xdr:row>37</xdr:row>
      <xdr:rowOff>0</xdr:rowOff>
    </xdr:from>
    <xdr:to>
      <xdr:col>6</xdr:col>
      <xdr:colOff>1681025</xdr:colOff>
      <xdr:row>37</xdr:row>
      <xdr:rowOff>0</xdr:rowOff>
    </xdr:to>
    <xdr:pic>
      <xdr:nvPicPr>
        <xdr:cNvPr id="18" name="Picture 10"/>
        <xdr:cNvPicPr>
          <a:picLocks noChangeAspect="1" noChangeArrowheads="1"/>
        </xdr:cNvPicPr>
      </xdr:nvPicPr>
      <xdr:blipFill>
        <a:blip r:embed="rId13"/>
        <a:stretch/>
      </xdr:blipFill>
      <xdr:spPr bwMode="auto">
        <a:xfrm rot="16199999">
          <a:off x="8105769" y="26189119"/>
          <a:ext cx="0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" zoomScale="55" workbookViewId="0">
      <selection activeCell="B11" activeCellId="0" sqref="B11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5" style="2" width="41.28515625"/>
    <col customWidth="1" min="6" max="6" style="3" width="11.7109375"/>
    <col customWidth="1" min="7" max="7" width="26.7109375"/>
    <col customWidth="1" min="8" max="8" width="17.5703125"/>
    <col customWidth="1" min="9" max="9" width="10.140625"/>
    <col customWidth="1" min="10" max="11" width="11.7109375"/>
    <col customWidth="1" min="12" max="12" style="4" width="19.85546875"/>
  </cols>
  <sheetData>
    <row r="1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8.75" customHeight="1">
      <c r="A2" s="7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ht="321.75" customHeight="1">
      <c r="A3" s="9"/>
      <c r="B3" s="10"/>
      <c r="C3" s="9"/>
      <c r="D3" s="9"/>
      <c r="E3" s="9"/>
      <c r="F3" s="9"/>
      <c r="G3" s="9"/>
      <c r="H3" s="9"/>
      <c r="I3" s="9"/>
      <c r="J3" s="9"/>
      <c r="K3" s="9"/>
      <c r="L3" s="11"/>
    </row>
    <row r="4" ht="69" customHeight="1">
      <c r="A4" s="12"/>
      <c r="B4" s="13" t="s">
        <v>2</v>
      </c>
      <c r="C4" s="14" t="s">
        <v>3</v>
      </c>
      <c r="D4" s="15" t="s">
        <v>4</v>
      </c>
      <c r="E4" s="15"/>
      <c r="F4" s="14" t="s">
        <v>5</v>
      </c>
      <c r="G4" s="14" t="s">
        <v>6</v>
      </c>
      <c r="H4" s="14" t="s">
        <v>7</v>
      </c>
      <c r="I4" s="16" t="s">
        <v>8</v>
      </c>
      <c r="J4" s="16" t="s">
        <v>9</v>
      </c>
      <c r="K4" s="16" t="s">
        <v>10</v>
      </c>
      <c r="L4" s="17" t="s">
        <v>11</v>
      </c>
    </row>
    <row r="5" ht="15">
      <c r="A5" s="18"/>
      <c r="B5" s="19" t="s">
        <v>12</v>
      </c>
      <c r="C5" s="20"/>
      <c r="D5" s="20"/>
      <c r="E5" s="20"/>
      <c r="F5" s="20"/>
      <c r="G5" s="21"/>
      <c r="H5" s="21"/>
      <c r="I5" s="21"/>
      <c r="J5" s="21"/>
      <c r="K5" s="21"/>
      <c r="L5" s="22"/>
    </row>
    <row r="6" s="23" customFormat="1" ht="34.5" customHeight="1">
      <c r="A6" s="24"/>
      <c r="B6" s="25">
        <v>1</v>
      </c>
      <c r="C6" s="26" t="s">
        <v>13</v>
      </c>
      <c r="D6" s="27" t="s">
        <v>14</v>
      </c>
      <c r="E6" s="28" t="s">
        <v>15</v>
      </c>
      <c r="F6" s="29">
        <v>1</v>
      </c>
      <c r="G6" s="30"/>
      <c r="H6" s="31" t="s">
        <v>16</v>
      </c>
      <c r="I6" s="30">
        <v>180</v>
      </c>
      <c r="J6" s="30">
        <v>10</v>
      </c>
      <c r="K6" s="30">
        <v>10</v>
      </c>
      <c r="L6" s="32">
        <f t="shared" ref="L6:L11" si="0">I6*J6*K6</f>
        <v>18000</v>
      </c>
    </row>
    <row r="7" s="23" customFormat="1" ht="34.5" customHeight="1">
      <c r="A7" s="24"/>
      <c r="B7" s="25">
        <v>2</v>
      </c>
      <c r="C7" s="25" t="s">
        <v>17</v>
      </c>
      <c r="D7" s="33" t="s">
        <v>18</v>
      </c>
      <c r="E7" s="34" t="s">
        <v>19</v>
      </c>
      <c r="F7" s="35">
        <v>3</v>
      </c>
      <c r="G7" s="36"/>
      <c r="H7" s="37" t="s">
        <v>20</v>
      </c>
      <c r="I7" s="38">
        <v>7.5</v>
      </c>
      <c r="J7" s="38">
        <v>7.5</v>
      </c>
      <c r="K7" s="38">
        <v>60</v>
      </c>
      <c r="L7" s="32">
        <f t="shared" si="0"/>
        <v>3375</v>
      </c>
    </row>
    <row r="8" s="39" customFormat="1" ht="43.5" customHeight="1">
      <c r="A8" s="40"/>
      <c r="B8" s="41"/>
      <c r="C8" s="41" t="s">
        <v>21</v>
      </c>
      <c r="D8" s="41" t="s">
        <v>22</v>
      </c>
      <c r="E8" s="42" t="s">
        <v>15</v>
      </c>
      <c r="F8" s="41">
        <v>12</v>
      </c>
      <c r="G8" s="41"/>
      <c r="H8" s="43"/>
      <c r="I8" s="41"/>
      <c r="J8" s="41"/>
      <c r="K8" s="41"/>
      <c r="L8" s="42">
        <f t="shared" si="0"/>
        <v>0</v>
      </c>
    </row>
    <row r="9" s="39" customFormat="1" ht="43.5" customHeight="1">
      <c r="A9" s="40"/>
      <c r="B9" s="41"/>
      <c r="C9" s="41" t="s">
        <v>23</v>
      </c>
      <c r="D9" s="41" t="s">
        <v>24</v>
      </c>
      <c r="E9" s="42" t="s">
        <v>15</v>
      </c>
      <c r="F9" s="41">
        <v>12</v>
      </c>
      <c r="G9" s="41"/>
      <c r="H9" s="43"/>
      <c r="I9" s="41"/>
      <c r="J9" s="41"/>
      <c r="K9" s="41"/>
      <c r="L9" s="42">
        <f t="shared" si="0"/>
        <v>0</v>
      </c>
    </row>
    <row r="10" s="39" customFormat="1" ht="43.5" customHeight="1">
      <c r="A10" s="40"/>
      <c r="B10" s="41"/>
      <c r="C10" s="41" t="s">
        <v>25</v>
      </c>
      <c r="D10" s="41" t="s">
        <v>26</v>
      </c>
      <c r="E10" s="42" t="s">
        <v>15</v>
      </c>
      <c r="F10" s="41">
        <v>12</v>
      </c>
      <c r="G10" s="41"/>
      <c r="H10" s="43"/>
      <c r="I10" s="41"/>
      <c r="J10" s="41"/>
      <c r="K10" s="41"/>
      <c r="L10" s="42">
        <f t="shared" si="0"/>
        <v>0</v>
      </c>
    </row>
    <row r="11" s="39" customFormat="1" ht="56.25" customHeight="1">
      <c r="A11" s="44"/>
      <c r="B11" s="41">
        <v>3</v>
      </c>
      <c r="C11" s="45" t="s">
        <v>27</v>
      </c>
      <c r="D11" s="34" t="s">
        <v>18</v>
      </c>
      <c r="E11" s="34" t="s">
        <v>19</v>
      </c>
      <c r="F11" s="34">
        <v>1</v>
      </c>
      <c r="G11" s="41"/>
      <c r="H11" s="46" t="s">
        <v>20</v>
      </c>
      <c r="I11" s="41">
        <v>10</v>
      </c>
      <c r="J11" s="41">
        <v>8</v>
      </c>
      <c r="K11" s="41">
        <v>60</v>
      </c>
      <c r="L11" s="42">
        <f t="shared" si="0"/>
        <v>4800</v>
      </c>
    </row>
    <row r="12" ht="15">
      <c r="A12" s="18"/>
      <c r="B12" s="47" t="s">
        <v>28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="23" customFormat="1" ht="53.25" customHeight="1">
      <c r="A13" s="18"/>
      <c r="B13" s="48">
        <v>4</v>
      </c>
      <c r="C13" s="49" t="s">
        <v>29</v>
      </c>
      <c r="D13" s="50" t="s">
        <v>30</v>
      </c>
      <c r="E13" s="34" t="s">
        <v>19</v>
      </c>
      <c r="F13" s="51">
        <v>6</v>
      </c>
      <c r="G13" s="30"/>
      <c r="H13" s="52" t="s">
        <v>31</v>
      </c>
      <c r="I13" s="30">
        <v>100</v>
      </c>
      <c r="J13" s="30">
        <v>30</v>
      </c>
      <c r="K13" s="30">
        <v>2.1000000000000001</v>
      </c>
      <c r="L13" s="32">
        <f t="shared" ref="L13:L39" si="1">I13*J13*K13</f>
        <v>6300</v>
      </c>
    </row>
    <row r="14" s="39" customFormat="1" ht="35.25" customHeight="1">
      <c r="A14" s="53"/>
      <c r="B14" s="42"/>
      <c r="C14" s="41" t="s">
        <v>32</v>
      </c>
      <c r="D14" s="41" t="s">
        <v>33</v>
      </c>
      <c r="E14" s="42" t="s">
        <v>15</v>
      </c>
      <c r="F14" s="41">
        <v>4</v>
      </c>
      <c r="G14" s="54"/>
      <c r="H14" s="41"/>
      <c r="I14" s="54"/>
      <c r="J14" s="54"/>
      <c r="K14" s="42"/>
      <c r="L14" s="42">
        <f t="shared" si="1"/>
        <v>0</v>
      </c>
    </row>
    <row r="15" s="39" customFormat="1" ht="35.25" customHeight="1">
      <c r="A15" s="53"/>
      <c r="B15" s="42"/>
      <c r="C15" s="41" t="s">
        <v>23</v>
      </c>
      <c r="D15" s="41" t="s">
        <v>24</v>
      </c>
      <c r="E15" s="42" t="s">
        <v>15</v>
      </c>
      <c r="F15" s="41">
        <v>4</v>
      </c>
      <c r="G15" s="54"/>
      <c r="H15" s="41"/>
      <c r="I15" s="54"/>
      <c r="J15" s="54"/>
      <c r="K15" s="42"/>
      <c r="L15" s="42">
        <f t="shared" si="1"/>
        <v>0</v>
      </c>
    </row>
    <row r="16" s="23" customFormat="1" ht="87.75" customHeight="1">
      <c r="A16" s="18"/>
      <c r="B16" s="55">
        <v>5</v>
      </c>
      <c r="C16" s="49" t="s">
        <v>34</v>
      </c>
      <c r="D16" s="56" t="s">
        <v>35</v>
      </c>
      <c r="E16" s="34" t="s">
        <v>19</v>
      </c>
      <c r="F16" s="29">
        <v>2</v>
      </c>
      <c r="G16" s="36"/>
      <c r="H16" s="57" t="s">
        <v>36</v>
      </c>
      <c r="I16" s="36">
        <v>84.299999999999997</v>
      </c>
      <c r="J16" s="36">
        <v>95</v>
      </c>
      <c r="K16" s="36">
        <v>2.1000000000000001</v>
      </c>
      <c r="L16" s="58">
        <f t="shared" si="1"/>
        <v>16817.850000000002</v>
      </c>
    </row>
    <row r="17" s="39" customFormat="1" ht="35.25" customHeight="1">
      <c r="A17" s="53"/>
      <c r="B17" s="42"/>
      <c r="C17" s="41" t="s">
        <v>32</v>
      </c>
      <c r="D17" s="41" t="s">
        <v>33</v>
      </c>
      <c r="E17" s="42" t="s">
        <v>15</v>
      </c>
      <c r="F17" s="41">
        <v>6</v>
      </c>
      <c r="G17" s="54"/>
      <c r="H17" s="41"/>
      <c r="I17" s="54"/>
      <c r="J17" s="54"/>
      <c r="K17" s="42"/>
      <c r="L17" s="42">
        <f t="shared" si="1"/>
        <v>0</v>
      </c>
    </row>
    <row r="18" s="39" customFormat="1" ht="35.25" customHeight="1">
      <c r="A18" s="53"/>
      <c r="B18" s="42"/>
      <c r="C18" s="41" t="s">
        <v>23</v>
      </c>
      <c r="D18" s="41" t="s">
        <v>24</v>
      </c>
      <c r="E18" s="42" t="s">
        <v>15</v>
      </c>
      <c r="F18" s="41">
        <v>6</v>
      </c>
      <c r="G18" s="54"/>
      <c r="H18" s="41"/>
      <c r="I18" s="54"/>
      <c r="J18" s="54"/>
      <c r="K18" s="42"/>
      <c r="L18" s="42">
        <f t="shared" si="1"/>
        <v>0</v>
      </c>
    </row>
    <row r="19" s="23" customFormat="1" ht="87.75" customHeight="1">
      <c r="A19" s="18"/>
      <c r="B19" s="55">
        <v>6</v>
      </c>
      <c r="C19" s="49" t="s">
        <v>37</v>
      </c>
      <c r="D19" s="56" t="s">
        <v>38</v>
      </c>
      <c r="E19" s="34" t="s">
        <v>19</v>
      </c>
      <c r="F19" s="29">
        <v>1</v>
      </c>
      <c r="G19" s="36"/>
      <c r="H19" s="59" t="s">
        <v>20</v>
      </c>
      <c r="I19" s="36">
        <v>119</v>
      </c>
      <c r="J19" s="36">
        <v>108.5</v>
      </c>
      <c r="K19" s="36">
        <v>1.5</v>
      </c>
      <c r="L19" s="58">
        <f t="shared" si="1"/>
        <v>19367.25</v>
      </c>
    </row>
    <row r="20" s="39" customFormat="1" ht="35.25" customHeight="1">
      <c r="A20" s="53"/>
      <c r="B20" s="42"/>
      <c r="C20" s="41" t="s">
        <v>32</v>
      </c>
      <c r="D20" s="41" t="s">
        <v>33</v>
      </c>
      <c r="E20" s="42" t="s">
        <v>15</v>
      </c>
      <c r="F20" s="41">
        <v>2</v>
      </c>
      <c r="G20" s="54"/>
      <c r="H20" s="41"/>
      <c r="I20" s="54"/>
      <c r="J20" s="54"/>
      <c r="K20" s="42"/>
      <c r="L20" s="42">
        <f t="shared" si="1"/>
        <v>0</v>
      </c>
    </row>
    <row r="21" s="39" customFormat="1" ht="35.25" customHeight="1">
      <c r="A21" s="53"/>
      <c r="B21" s="42"/>
      <c r="C21" s="41" t="s">
        <v>23</v>
      </c>
      <c r="D21" s="41" t="s">
        <v>24</v>
      </c>
      <c r="E21" s="42" t="s">
        <v>15</v>
      </c>
      <c r="F21" s="41">
        <v>2</v>
      </c>
      <c r="G21" s="54"/>
      <c r="H21" s="41"/>
      <c r="I21" s="54"/>
      <c r="J21" s="54"/>
      <c r="K21" s="42"/>
      <c r="L21" s="42">
        <f t="shared" si="1"/>
        <v>0</v>
      </c>
    </row>
    <row r="22" s="23" customFormat="1" ht="63" customHeight="1">
      <c r="A22" s="18"/>
      <c r="B22" s="55">
        <v>7</v>
      </c>
      <c r="C22" s="26" t="s">
        <v>39</v>
      </c>
      <c r="D22" s="29" t="s">
        <v>40</v>
      </c>
      <c r="E22" s="34" t="s">
        <v>19</v>
      </c>
      <c r="F22" s="29">
        <v>3</v>
      </c>
      <c r="G22" s="60"/>
      <c r="H22" s="57" t="s">
        <v>36</v>
      </c>
      <c r="I22" s="61">
        <v>35</v>
      </c>
      <c r="J22" s="61">
        <v>35</v>
      </c>
      <c r="K22" s="61">
        <v>2.1000000000000001</v>
      </c>
      <c r="L22" s="62">
        <f t="shared" si="1"/>
        <v>2572.5</v>
      </c>
    </row>
    <row r="23" s="23" customFormat="1" ht="63" customHeight="1">
      <c r="A23" s="18"/>
      <c r="B23" s="55">
        <v>8</v>
      </c>
      <c r="C23" s="26" t="s">
        <v>39</v>
      </c>
      <c r="D23" s="29" t="s">
        <v>40</v>
      </c>
      <c r="E23" s="34" t="s">
        <v>19</v>
      </c>
      <c r="F23" s="29">
        <v>1</v>
      </c>
      <c r="G23" s="60"/>
      <c r="H23" s="52" t="s">
        <v>31</v>
      </c>
      <c r="I23" s="61">
        <v>35</v>
      </c>
      <c r="J23" s="61">
        <v>35</v>
      </c>
      <c r="K23" s="61">
        <v>2.1000000000000001</v>
      </c>
      <c r="L23" s="62">
        <f t="shared" si="1"/>
        <v>2572.5</v>
      </c>
    </row>
    <row r="24" s="23" customFormat="1" ht="48" customHeight="1">
      <c r="A24" s="18"/>
      <c r="B24" s="55">
        <v>9</v>
      </c>
      <c r="C24" s="26" t="s">
        <v>41</v>
      </c>
      <c r="D24" s="29" t="s">
        <v>42</v>
      </c>
      <c r="E24" s="34" t="s">
        <v>19</v>
      </c>
      <c r="F24" s="29">
        <v>4</v>
      </c>
      <c r="G24" s="36"/>
      <c r="H24" s="59" t="s">
        <v>20</v>
      </c>
      <c r="I24" s="36">
        <v>29.699999999999999</v>
      </c>
      <c r="J24" s="36">
        <v>29.699999999999999</v>
      </c>
      <c r="K24" s="36">
        <v>1.5</v>
      </c>
      <c r="L24" s="58">
        <f t="shared" si="1"/>
        <v>1323.1349999999998</v>
      </c>
    </row>
    <row r="25" s="39" customFormat="1" ht="43.5" customHeight="1">
      <c r="A25" s="40"/>
      <c r="B25" s="41"/>
      <c r="C25" s="41" t="s">
        <v>43</v>
      </c>
      <c r="D25" s="41" t="s">
        <v>44</v>
      </c>
      <c r="E25" s="42" t="s">
        <v>15</v>
      </c>
      <c r="F25" s="41">
        <v>8</v>
      </c>
      <c r="G25" s="41"/>
      <c r="H25" s="43"/>
      <c r="I25" s="41"/>
      <c r="J25" s="41"/>
      <c r="K25" s="41"/>
      <c r="L25" s="42">
        <f t="shared" si="1"/>
        <v>0</v>
      </c>
    </row>
    <row r="26" s="39" customFormat="1" ht="43.5" customHeight="1">
      <c r="A26" s="40"/>
      <c r="B26" s="41"/>
      <c r="C26" s="41" t="s">
        <v>23</v>
      </c>
      <c r="D26" s="41" t="s">
        <v>24</v>
      </c>
      <c r="E26" s="42" t="s">
        <v>15</v>
      </c>
      <c r="F26" s="41">
        <v>8</v>
      </c>
      <c r="G26" s="41"/>
      <c r="H26" s="43"/>
      <c r="I26" s="41"/>
      <c r="J26" s="41"/>
      <c r="K26" s="41"/>
      <c r="L26" s="42">
        <f t="shared" si="1"/>
        <v>0</v>
      </c>
    </row>
    <row r="27" s="39" customFormat="1" ht="43.5" customHeight="1">
      <c r="A27" s="40"/>
      <c r="B27" s="41"/>
      <c r="C27" s="41" t="s">
        <v>45</v>
      </c>
      <c r="D27" s="41" t="s">
        <v>46</v>
      </c>
      <c r="E27" s="42" t="s">
        <v>15</v>
      </c>
      <c r="F27" s="41">
        <v>8</v>
      </c>
      <c r="G27" s="41"/>
      <c r="H27" s="43"/>
      <c r="I27" s="41"/>
      <c r="J27" s="41"/>
      <c r="K27" s="41"/>
      <c r="L27" s="42">
        <f t="shared" si="1"/>
        <v>0</v>
      </c>
    </row>
    <row r="28" s="39" customFormat="1" ht="100.5" customHeight="1">
      <c r="A28" s="63"/>
      <c r="B28" s="28">
        <v>10</v>
      </c>
      <c r="C28" s="45" t="s">
        <v>47</v>
      </c>
      <c r="D28" s="45" t="s">
        <v>48</v>
      </c>
      <c r="E28" s="34" t="s">
        <v>19</v>
      </c>
      <c r="F28" s="28">
        <v>6</v>
      </c>
      <c r="G28" s="42"/>
      <c r="H28" s="59" t="s">
        <v>20</v>
      </c>
      <c r="I28" s="41">
        <v>6.2000000000000002</v>
      </c>
      <c r="J28" s="41">
        <v>6.2000000000000002</v>
      </c>
      <c r="K28" s="41">
        <v>4</v>
      </c>
      <c r="L28" s="42">
        <f t="shared" si="1"/>
        <v>153.76000000000002</v>
      </c>
    </row>
    <row r="29" s="39" customFormat="1" ht="43.5" customHeight="1">
      <c r="A29" s="40"/>
      <c r="B29" s="41"/>
      <c r="C29" s="41" t="s">
        <v>49</v>
      </c>
      <c r="D29" s="41" t="s">
        <v>50</v>
      </c>
      <c r="E29" s="42" t="s">
        <v>15</v>
      </c>
      <c r="F29" s="41">
        <v>12</v>
      </c>
      <c r="G29" s="41"/>
      <c r="H29" s="43"/>
      <c r="I29" s="41"/>
      <c r="J29" s="41"/>
      <c r="K29" s="41"/>
      <c r="L29" s="42">
        <f t="shared" si="1"/>
        <v>0</v>
      </c>
    </row>
    <row r="30" s="39" customFormat="1" ht="43.5" customHeight="1">
      <c r="A30" s="40"/>
      <c r="B30" s="41"/>
      <c r="C30" s="41" t="s">
        <v>23</v>
      </c>
      <c r="D30" s="41" t="s">
        <v>24</v>
      </c>
      <c r="E30" s="42" t="s">
        <v>15</v>
      </c>
      <c r="F30" s="41">
        <v>12</v>
      </c>
      <c r="G30" s="41"/>
      <c r="H30" s="43"/>
      <c r="I30" s="41"/>
      <c r="J30" s="41"/>
      <c r="K30" s="41"/>
      <c r="L30" s="42">
        <f t="shared" si="1"/>
        <v>0</v>
      </c>
    </row>
    <row r="31" s="39" customFormat="1" ht="43.5" customHeight="1">
      <c r="A31" s="40"/>
      <c r="B31" s="41"/>
      <c r="C31" s="41" t="s">
        <v>45</v>
      </c>
      <c r="D31" s="41" t="s">
        <v>46</v>
      </c>
      <c r="E31" s="42" t="s">
        <v>15</v>
      </c>
      <c r="F31" s="41">
        <v>12</v>
      </c>
      <c r="G31" s="41"/>
      <c r="H31" s="43"/>
      <c r="I31" s="41"/>
      <c r="J31" s="41"/>
      <c r="K31" s="41"/>
      <c r="L31" s="42">
        <f t="shared" si="1"/>
        <v>0</v>
      </c>
    </row>
    <row r="32" s="23" customFormat="1" ht="27.75" customHeight="1">
      <c r="A32" s="64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ht="123" customHeight="1">
      <c r="A33" s="68"/>
      <c r="B33" s="48">
        <v>11</v>
      </c>
      <c r="C33" s="49" t="s">
        <v>51</v>
      </c>
      <c r="D33" s="50" t="s">
        <v>52</v>
      </c>
      <c r="E33" s="34" t="s">
        <v>19</v>
      </c>
      <c r="F33" s="69">
        <v>1</v>
      </c>
      <c r="G33" s="70"/>
      <c r="H33" s="59" t="s">
        <v>20</v>
      </c>
      <c r="I33" s="71">
        <v>71.299999999999997</v>
      </c>
      <c r="J33" s="71">
        <v>45</v>
      </c>
      <c r="K33" s="71">
        <v>10</v>
      </c>
      <c r="L33" s="58">
        <f t="shared" si="1"/>
        <v>32085</v>
      </c>
    </row>
    <row r="34" s="39" customFormat="1" ht="43.5" customHeight="1">
      <c r="A34" s="40"/>
      <c r="B34" s="41"/>
      <c r="C34" s="41" t="s">
        <v>43</v>
      </c>
      <c r="D34" s="41" t="s">
        <v>44</v>
      </c>
      <c r="E34" s="42" t="s">
        <v>15</v>
      </c>
      <c r="F34" s="41">
        <v>2</v>
      </c>
      <c r="G34" s="41"/>
      <c r="H34" s="43"/>
      <c r="I34" s="41"/>
      <c r="J34" s="41"/>
      <c r="K34" s="41"/>
      <c r="L34" s="42">
        <f t="shared" si="1"/>
        <v>0</v>
      </c>
    </row>
    <row r="35" s="39" customFormat="1" ht="35.25" customHeight="1">
      <c r="A35" s="53"/>
      <c r="B35" s="42"/>
      <c r="C35" s="41" t="s">
        <v>32</v>
      </c>
      <c r="D35" s="41" t="s">
        <v>33</v>
      </c>
      <c r="E35" s="42" t="s">
        <v>15</v>
      </c>
      <c r="F35" s="41">
        <v>2</v>
      </c>
      <c r="G35" s="54"/>
      <c r="H35" s="41"/>
      <c r="I35" s="54"/>
      <c r="J35" s="54"/>
      <c r="K35" s="42"/>
      <c r="L35" s="42">
        <f t="shared" si="1"/>
        <v>0</v>
      </c>
    </row>
    <row r="36" s="39" customFormat="1" ht="43.5" customHeight="1">
      <c r="A36" s="40"/>
      <c r="B36" s="41"/>
      <c r="C36" s="41" t="s">
        <v>23</v>
      </c>
      <c r="D36" s="41" t="s">
        <v>24</v>
      </c>
      <c r="E36" s="42" t="s">
        <v>15</v>
      </c>
      <c r="F36" s="41">
        <v>4</v>
      </c>
      <c r="G36" s="41"/>
      <c r="H36" s="43"/>
      <c r="I36" s="41"/>
      <c r="J36" s="41"/>
      <c r="K36" s="41"/>
      <c r="L36" s="42">
        <f t="shared" si="1"/>
        <v>0</v>
      </c>
    </row>
    <row r="37" s="39" customFormat="1" ht="43.5" customHeight="1">
      <c r="A37" s="40"/>
      <c r="B37" s="41"/>
      <c r="C37" s="41" t="s">
        <v>45</v>
      </c>
      <c r="D37" s="41" t="s">
        <v>46</v>
      </c>
      <c r="E37" s="42" t="s">
        <v>15</v>
      </c>
      <c r="F37" s="41">
        <v>2</v>
      </c>
      <c r="G37" s="41"/>
      <c r="H37" s="43"/>
      <c r="I37" s="41"/>
      <c r="J37" s="41"/>
      <c r="K37" s="41"/>
      <c r="L37" s="42">
        <f t="shared" si="1"/>
        <v>0</v>
      </c>
    </row>
    <row r="38" ht="58.5" customHeight="1">
      <c r="A38" s="68"/>
      <c r="B38" s="48">
        <v>12</v>
      </c>
      <c r="C38" s="45" t="s">
        <v>53</v>
      </c>
      <c r="D38" s="45" t="s">
        <v>54</v>
      </c>
      <c r="E38" s="28" t="s">
        <v>15</v>
      </c>
      <c r="F38" s="72">
        <v>39</v>
      </c>
      <c r="G38" s="73"/>
      <c r="H38" s="41" t="s">
        <v>55</v>
      </c>
      <c r="I38" s="43">
        <v>2.7000000000000002</v>
      </c>
      <c r="J38" s="43">
        <v>2.7000000000000002</v>
      </c>
      <c r="K38" s="43">
        <v>1.6000000000000001</v>
      </c>
      <c r="L38" s="58">
        <f t="shared" si="1"/>
        <v>11.664000000000001</v>
      </c>
    </row>
    <row r="39" ht="66.75" customHeight="1">
      <c r="A39" s="68"/>
      <c r="B39" s="74">
        <v>13</v>
      </c>
      <c r="C39" s="45" t="s">
        <v>56</v>
      </c>
      <c r="D39" s="45" t="s">
        <v>57</v>
      </c>
      <c r="E39" s="28" t="s">
        <v>15</v>
      </c>
      <c r="F39" s="72">
        <v>98</v>
      </c>
      <c r="G39" s="73"/>
      <c r="H39" s="41" t="s">
        <v>55</v>
      </c>
      <c r="I39" s="43">
        <v>3.6000000000000001</v>
      </c>
      <c r="J39" s="43">
        <v>3.6000000000000001</v>
      </c>
      <c r="K39" s="43">
        <v>2.2999999999999998</v>
      </c>
      <c r="L39" s="58">
        <f t="shared" si="1"/>
        <v>29.808</v>
      </c>
    </row>
  </sheetData>
  <mergeCells count="6">
    <mergeCell ref="A1:L1"/>
    <mergeCell ref="B2:L2"/>
    <mergeCell ref="B3:L3"/>
    <mergeCell ref="B5:L5"/>
    <mergeCell ref="B12:L12"/>
    <mergeCell ref="B32:L32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2" firstPageNumber="1" fitToWidth="1" fitToHeight="0" pageOrder="downThenOver" orientation="portrait" usePrinterDefaults="1" blackAndWhite="0" draft="0" cellComments="none" useFirstPageNumber="1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2025-03-25T07:41:47Z</dcterms:modified>
</cp:coreProperties>
</file>