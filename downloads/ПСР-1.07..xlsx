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emf" ContentType="image/x-emf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<sst xmlns="http://schemas.openxmlformats.org/spreadsheetml/2006/main" count="79" uniqueCount="79">
  <si>
    <t>ПСР-1.06</t>
  </si>
  <si>
    <t xml:space="preserve">Размер  1,99 х 1,99 х 1,53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</si>
  <si>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</si>
  <si>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</si>
  <si>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</si>
  <si>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</si>
  <si>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</si>
  <si>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</si>
  <si>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</si>
  <si>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</si>
  <si>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</si>
  <si>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</si>
  <si>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Объем всего</t>
  </si>
  <si>
    <t xml:space="preserve">Метизы крепления на 1 комплектующую</t>
  </si>
  <si>
    <t xml:space="preserve">Заглушка м8-10 (крепеж к столбу) (на 1 комплектующую)</t>
  </si>
  <si>
    <t xml:space="preserve">всего м8-10</t>
  </si>
  <si>
    <t xml:space="preserve">Заглушка м6 (крепеж фанеры между собой)</t>
  </si>
  <si>
    <t xml:space="preserve">всего м6</t>
  </si>
  <si>
    <t>ГлухарьМ8х60</t>
  </si>
  <si>
    <t>ГлухарьМ8х80</t>
  </si>
  <si>
    <t xml:space="preserve">Мебельный болт М6х45</t>
  </si>
  <si>
    <t xml:space="preserve">Мебельный болт М6х60</t>
  </si>
  <si>
    <t>СТОЛБЫ</t>
  </si>
  <si>
    <t>0085ДБ</t>
  </si>
  <si>
    <t xml:space="preserve">Столб (брус 100х100) 1300 мм спиленный под углом</t>
  </si>
  <si>
    <t>тик</t>
  </si>
  <si>
    <t>0021ДБ</t>
  </si>
  <si>
    <t xml:space="preserve">Столб (брус 100х100) 1100 мм спиленный под углом</t>
  </si>
  <si>
    <t>0053ДБ</t>
  </si>
  <si>
    <t xml:space="preserve">Столб (брус 100х100) 400 мм</t>
  </si>
  <si>
    <t>0040ДБ</t>
  </si>
  <si>
    <t xml:space="preserve">Столб (брус 100х100) 600 мм</t>
  </si>
  <si>
    <t>0013МП</t>
  </si>
  <si>
    <t xml:space="preserve">Закладная для столба 100х100</t>
  </si>
  <si>
    <t xml:space="preserve">Шуруп (глухарь) 8х60 - 4 шт.                         Шайба м8 увел. - 4шт.                         </t>
  </si>
  <si>
    <t>ПАНЕЛИ</t>
  </si>
  <si>
    <t>000731</t>
  </si>
  <si>
    <t xml:space="preserve">Боковина песочницы Волна больш. 1.07
1500 x 531 x 21</t>
  </si>
  <si>
    <t xml:space="preserve">Шуруп (глухарь) 8х80 - 4 шт.                         Шайба м8 увел. - 4шт.                         </t>
  </si>
  <si>
    <t>000732</t>
  </si>
  <si>
    <t xml:space="preserve">Боковина песочницы Волна малая 1.07
1500 x 331 x 21 </t>
  </si>
  <si>
    <t>000730</t>
  </si>
  <si>
    <t xml:space="preserve">Боковина песочницы Половина 1.07
750 x 300 x 21</t>
  </si>
  <si>
    <t>000733</t>
  </si>
  <si>
    <t xml:space="preserve">Стол песочн. арочный с вырез. 1.07
1597 x 344 x 21  </t>
  </si>
  <si>
    <t xml:space="preserve">Шуруп (глухарь) 8х80 - 1 шт.                         Шайба м8 увел. - 1шт.                         </t>
  </si>
  <si>
    <t>000734</t>
  </si>
  <si>
    <t xml:space="preserve">Стол песочницы арочный 1.07
1694 x 344 x 21 </t>
  </si>
  <si>
    <t xml:space="preserve">Шуруп (глухарь) 8х80 - 2 шт.                         Шайба м8 увел. - 2шт.                         </t>
  </si>
  <si>
    <t>000735</t>
  </si>
  <si>
    <t xml:space="preserve">Борт песочницы с вырезом 1.07
1557 x 200 x 21</t>
  </si>
  <si>
    <t>001089</t>
  </si>
  <si>
    <t xml:space="preserve">Крыша Бабочка -1.07
1113 x 1039 x 15 </t>
  </si>
  <si>
    <t xml:space="preserve">Шуруп (глухарь) 8х80 - 3 шт.                         Шайба м8 увел. - 3шт.                         </t>
  </si>
  <si>
    <t>001086</t>
  </si>
  <si>
    <t xml:space="preserve">Брюшко бабочки -1.07
130 x 855 x 15  </t>
  </si>
  <si>
    <t xml:space="preserve">Болт мебельный М6х45 - 2 шт.                               Шайба м8 увел. - 2 шт.                    Гайка м6 - 2 шт        </t>
  </si>
  <si>
    <t>001087</t>
  </si>
  <si>
    <t xml:space="preserve">Накладка нижняя крыла бабочки -1.07
291 x 327 x 15  </t>
  </si>
  <si>
    <t xml:space="preserve">Болт мебельный М6х45 - 3 шт.                               Шайба м8 увел. - 3 шт.                    Гайка м6 - 3 шт        </t>
  </si>
  <si>
    <t>001088</t>
  </si>
  <si>
    <t xml:space="preserve">Накладка Кольцо крыла бабочки -1.07
270 x 270 x 15 </t>
  </si>
  <si>
    <t>000007</t>
  </si>
  <si>
    <t xml:space="preserve">Точка (песочница-букашка)
150 x 150 x 15 </t>
  </si>
  <si>
    <t xml:space="preserve">Болт мебельный М6х45 - 1 шт.                               Шайба м8 увел. -1 шт.                    Гайка м6 - 1 шт        </t>
  </si>
  <si>
    <t>000248</t>
  </si>
  <si>
    <t xml:space="preserve">Соединитель цветок 1.08
297 x 297 x 15 </t>
  </si>
  <si>
    <t xml:space="preserve">Болт мебельный М6х60 - 4 шт.                               Шайба м8 увел. - 4 шт.                    Гайка м6 - 4 шт        </t>
  </si>
  <si>
    <t>000736</t>
  </si>
  <si>
    <t xml:space="preserve">Стол песочницы угловой 1.07
605 x 605 x 21</t>
  </si>
  <si>
    <t>0003МП</t>
  </si>
  <si>
    <t xml:space="preserve">Уголок 55х55х40</t>
  </si>
  <si>
    <t xml:space="preserve">Шуруп (глухарь) 8х50 - 1 шт.                         Шайба м8 увел. - 2шт.        Болт мебельный М6х45 - 1 шт.     Гайка м6 - 1 шт                     </t>
  </si>
  <si>
    <t>ЗАГЛУШКИ</t>
  </si>
  <si>
    <t>КЧМ6КС</t>
  </si>
  <si>
    <t xml:space="preserve">Заглушка К4М6КС</t>
  </si>
  <si>
    <t>Черный</t>
  </si>
  <si>
    <t>КЧМ8КС</t>
  </si>
  <si>
    <t xml:space="preserve">Заглушка К4М8КС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</si>
</sst>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* #,##0.00\ _₽_-;\-* #,##0.00\ _₽_-;_-* &quot;-&quot;??\ _₽_-;_-@_-"/>
    <numFmt numFmtId="161" formatCode="_-* #,##0.0000\ _₽_-;\-* #,##0.0000\ _₽_-;_-* &quot;-&quot;??\ _₽_-;_-@_-"/>
    <numFmt numFmtId="162" formatCode="0.000"/>
    <numFmt numFmtId="163" formatCode="0.00000"/>
  </numFmts>
  <fonts count="10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sz val="10.000000"/>
      <color theme="1"/>
      <name val="Calibri"/>
      <scheme val="minor"/>
    </font>
    <font>
      <b/>
      <sz val="12.000000"/>
      <color theme="1"/>
      <name val="Calibri"/>
      <scheme val="minor"/>
    </font>
    <font>
      <sz val="10.000000"/>
      <name val="Calibri"/>
      <scheme val="minor"/>
    </font>
    <font>
      <sz val="12.000000"/>
      <name val="Calibri"/>
      <scheme val="minor"/>
    </font>
    <font>
      <b/>
      <sz val="12.000000"/>
      <name val="Calibri"/>
      <scheme val="minor"/>
    </font>
    <font>
      <sz val="12.000000"/>
      <color theme="1"/>
      <name val="Arial"/>
    </font>
    <font>
      <sz val="12.000000"/>
      <color theme="0"/>
      <name val="Calibri"/>
      <scheme val="minor"/>
    </font>
    <font>
      <b/>
      <sz val="10.00000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rgb="FF92D050"/>
      </patternFill>
    </fill>
    <fill>
      <patternFill patternType="solid">
        <fgColor indexed="2"/>
        <bgColor indexed="2"/>
      </patternFill>
    </fill>
    <fill>
      <patternFill patternType="solid">
        <fgColor rgb="FF00B0F0"/>
        <bgColor rgb="FF00B0F0"/>
      </patternFill>
    </fill>
    <fill>
      <patternFill patternType="solid">
        <fgColor rgb="FF663300"/>
        <bgColor rgb="FF663300"/>
      </patternFill>
    </fill>
    <fill>
      <patternFill patternType="solid">
        <fgColor rgb="FFFFC000"/>
        <bgColor rgb="FFFFC000"/>
      </patternFill>
    </fill>
  </fills>
  <borders count="34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86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/>
    </xf>
    <xf fontId="1" fillId="0" borderId="0" numFmtId="0" xfId="0" applyFont="1" applyAlignment="1">
      <alignment horizontal="left" indent="1"/>
    </xf>
    <xf fontId="1" fillId="0" borderId="0" numFmtId="0" xfId="0" applyFont="1" applyAlignment="1">
      <alignment horizontal="center" vertical="center"/>
    </xf>
    <xf fontId="1" fillId="0" borderId="0" numFmtId="161" xfId="1" applyNumberFormat="1" applyFont="1"/>
    <xf fontId="2" fillId="0" borderId="0" numFmtId="0" xfId="0" applyFont="1"/>
    <xf fontId="3" fillId="2" borderId="1" numFmtId="0" xfId="0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0" borderId="5" numFmtId="0" xfId="0" applyFont="1" applyBorder="1" applyAlignment="1">
      <alignment horizontal="center" vertical="center"/>
    </xf>
    <xf fontId="3" fillId="0" borderId="6" numFmtId="0" xfId="0" applyFont="1" applyBorder="1" applyAlignment="1">
      <alignment horizontal="center" vertical="center"/>
    </xf>
    <xf fontId="1" fillId="0" borderId="7" numFmtId="0" xfId="0" applyFont="1" applyBorder="1"/>
    <xf fontId="1" fillId="0" borderId="8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left" indent="1" vertical="center" wrapText="1"/>
    </xf>
    <xf fontId="1" fillId="0" borderId="9" numFmtId="0" xfId="0" applyFont="1" applyBorder="1" applyAlignment="1">
      <alignment horizontal="center" vertical="center" wrapText="1"/>
    </xf>
    <xf fontId="1" fillId="0" borderId="10" numFmtId="161" xfId="1" applyNumberFormat="1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 wrapText="1"/>
    </xf>
    <xf fontId="4" fillId="0" borderId="11" numFmtId="161" xfId="1" applyNumberFormat="1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3" fillId="0" borderId="11" numFmtId="0" xfId="0" applyFont="1" applyBorder="1" applyAlignment="1">
      <alignment horizontal="center" vertical="center" wrapText="1"/>
    </xf>
    <xf fontId="1" fillId="0" borderId="0" numFmtId="0" xfId="0" applyFont="1" applyAlignment="1">
      <alignment wrapText="1"/>
    </xf>
    <xf fontId="1" fillId="0" borderId="13" numFmtId="0" xfId="0" applyFont="1" applyBorder="1"/>
    <xf fontId="3" fillId="3" borderId="14" numFmtId="0" xfId="0" applyFont="1" applyFill="1" applyBorder="1" applyAlignment="1">
      <alignment horizontal="center" vertical="center"/>
    </xf>
    <xf fontId="3" fillId="3" borderId="15" numFmtId="0" xfId="0" applyFont="1" applyFill="1" applyBorder="1" applyAlignment="1">
      <alignment horizontal="center" vertical="center"/>
    </xf>
    <xf fontId="3" fillId="3" borderId="16" numFmtId="0" xfId="0" applyFont="1" applyFill="1" applyBorder="1" applyAlignment="1">
      <alignment horizontal="center" vertical="center"/>
    </xf>
    <xf fontId="1" fillId="0" borderId="11" numFmtId="162" xfId="0" applyNumberFormat="1" applyFont="1" applyBorder="1" applyAlignment="1">
      <alignment horizontal="center" vertical="center" wrapText="1"/>
    </xf>
    <xf fontId="2" fillId="0" borderId="12" numFmtId="162" xfId="0" applyNumberFormat="1" applyFont="1" applyBorder="1" applyAlignment="1">
      <alignment horizontal="center" vertical="center" wrapText="1"/>
    </xf>
    <xf fontId="1" fillId="0" borderId="12" numFmtId="0" xfId="0" applyFont="1" applyBorder="1"/>
    <xf fontId="1" fillId="0" borderId="11" numFmtId="0" xfId="0" applyFont="1" applyBorder="1"/>
    <xf fontId="1" fillId="0" borderId="0" numFmtId="0" xfId="0" applyFont="1" applyAlignment="1">
      <alignment horizontal="center" vertical="center" wrapText="1"/>
    </xf>
    <xf fontId="3" fillId="4" borderId="0" numFmtId="0" xfId="0" applyFont="1" applyFill="1" applyAlignment="1">
      <alignment horizontal="center" textRotation="90" vertical="center" wrapText="1"/>
    </xf>
    <xf fontId="1" fillId="0" borderId="17" numFmtId="0" xfId="0" applyFont="1" applyBorder="1" applyAlignment="1">
      <alignment horizontal="center" vertical="center" wrapText="1"/>
    </xf>
    <xf fontId="1" fillId="0" borderId="11" numFmtId="49" xfId="0" applyNumberFormat="1" applyFont="1" applyBorder="1" applyAlignment="1">
      <alignment horizontal="center" vertical="center" wrapText="1"/>
    </xf>
    <xf fontId="1" fillId="0" borderId="11" numFmtId="0" xfId="0" applyFont="1" applyBorder="1" applyAlignment="1">
      <alignment horizontal="left" indent="1" vertical="center" wrapText="1"/>
    </xf>
    <xf fontId="1" fillId="0" borderId="18" numFmtId="0" xfId="0" applyFont="1" applyBorder="1" applyAlignment="1">
      <alignment horizontal="center" vertical="center" wrapText="1"/>
    </xf>
    <xf fontId="1" fillId="0" borderId="19" numFmtId="162" xfId="0" applyNumberFormat="1" applyFont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1" fillId="0" borderId="21" numFmtId="162" xfId="0" applyNumberFormat="1" applyFont="1" applyBorder="1" applyAlignment="1">
      <alignment horizontal="center" vertical="center" wrapText="1"/>
    </xf>
    <xf fontId="5" fillId="0" borderId="11" numFmtId="0" xfId="0" applyFont="1" applyBorder="1" applyAlignment="1">
      <alignment horizontal="center" vertical="center"/>
    </xf>
    <xf fontId="6" fillId="0" borderId="20" numFmtId="0" xfId="0" applyFont="1" applyBorder="1" applyAlignment="1">
      <alignment horizontal="center" textRotation="90" vertical="center" wrapText="1"/>
    </xf>
    <xf fontId="5" fillId="0" borderId="11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 wrapText="1"/>
    </xf>
    <xf fontId="5" fillId="0" borderId="22" numFmtId="0" xfId="0" applyFont="1" applyBorder="1" applyAlignment="1">
      <alignment horizontal="center" vertical="center" wrapText="1"/>
    </xf>
    <xf fontId="5" fillId="4" borderId="22" numFmtId="0" xfId="0" applyFont="1" applyFill="1" applyBorder="1" applyAlignment="1">
      <alignment horizontal="center" vertical="center"/>
    </xf>
    <xf fontId="5" fillId="0" borderId="23" numFmtId="162" xfId="0" applyNumberFormat="1" applyFont="1" applyBorder="1" applyAlignment="1">
      <alignment horizontal="center" vertical="center" wrapText="1"/>
    </xf>
    <xf fontId="1" fillId="0" borderId="24" numFmtId="162" xfId="0" applyNumberFormat="1" applyFont="1" applyBorder="1" applyAlignment="1">
      <alignment horizontal="center" vertical="center" wrapText="1"/>
    </xf>
    <xf fontId="4" fillId="0" borderId="11" numFmtId="162" xfId="0" applyNumberFormat="1" applyFont="1" applyBorder="1" applyAlignment="1">
      <alignment horizontal="center" vertical="center" wrapText="1"/>
    </xf>
    <xf fontId="5" fillId="5" borderId="18" numFmtId="0" xfId="0" applyFont="1" applyFill="1" applyBorder="1" applyAlignment="1">
      <alignment horizontal="center" vertical="center"/>
    </xf>
    <xf fontId="1" fillId="0" borderId="12" numFmtId="0" xfId="1" applyFont="1" applyBorder="1" applyAlignment="1">
      <alignment horizontal="center" vertical="center" wrapText="1"/>
    </xf>
    <xf fontId="5" fillId="5" borderId="11" numFmtId="0" xfId="0" applyFont="1" applyFill="1" applyBorder="1" applyAlignment="1">
      <alignment horizontal="center" vertical="center"/>
    </xf>
    <xf fontId="1" fillId="6" borderId="11" numFmtId="0" xfId="0" applyFont="1" applyFill="1" applyBorder="1" applyAlignment="1">
      <alignment horizontal="center" vertical="center"/>
    </xf>
    <xf fontId="7" fillId="7" borderId="11" numFmtId="0" xfId="0" applyFont="1" applyFill="1" applyBorder="1" applyAlignment="1">
      <alignment horizontal="center" vertical="center"/>
    </xf>
    <xf fontId="8" fillId="8" borderId="11" numFmtId="0" xfId="0" applyFont="1" applyFill="1" applyBorder="1" applyAlignment="1">
      <alignment horizontal="center" vertical="center"/>
    </xf>
    <xf fontId="7" fillId="4" borderId="11" numFmtId="0" xfId="0" applyFont="1" applyFill="1" applyBorder="1" applyAlignment="1">
      <alignment horizontal="center" vertical="center"/>
    </xf>
    <xf fontId="1" fillId="9" borderId="11" numFmtId="0" xfId="0" applyFont="1" applyFill="1" applyBorder="1" applyAlignment="1">
      <alignment horizontal="center" vertical="center"/>
    </xf>
    <xf fontId="5" fillId="0" borderId="0" numFmtId="0" xfId="0" applyFont="1" applyAlignment="1">
      <alignment horizontal="center" vertical="center" wrapText="1"/>
    </xf>
    <xf fontId="1" fillId="0" borderId="25" numFmtId="0" xfId="0" applyFont="1" applyBorder="1"/>
    <xf fontId="1" fillId="0" borderId="22" numFmtId="0" xfId="0" applyFont="1" applyBorder="1" applyAlignment="1">
      <alignment horizontal="center" vertical="center" wrapText="1"/>
    </xf>
    <xf fontId="1" fillId="4" borderId="22" numFmtId="0" xfId="0" applyFont="1" applyFill="1" applyBorder="1" applyAlignment="1">
      <alignment horizontal="center" vertical="center"/>
    </xf>
    <xf fontId="1" fillId="0" borderId="26" numFmtId="161" xfId="1" applyNumberFormat="1" applyFont="1" applyBorder="1" applyAlignment="1">
      <alignment vertical="center" wrapText="1"/>
    </xf>
    <xf fontId="1" fillId="0" borderId="27" numFmtId="0" xfId="0" applyFont="1" applyBorder="1"/>
    <xf fontId="3" fillId="3" borderId="8" numFmtId="0" xfId="0" applyFont="1" applyFill="1" applyBorder="1" applyAlignment="1">
      <alignment horizontal="center" vertical="center" wrapText="1"/>
    </xf>
    <xf fontId="3" fillId="3" borderId="9" numFmtId="0" xfId="0" applyFont="1" applyFill="1" applyBorder="1" applyAlignment="1">
      <alignment horizontal="center" vertical="center" wrapText="1"/>
    </xf>
    <xf fontId="3" fillId="3" borderId="10" numFmtId="0" xfId="0" applyFont="1" applyFill="1" applyBorder="1" applyAlignment="1">
      <alignment horizontal="center" vertical="center" wrapText="1"/>
    </xf>
    <xf fontId="1" fillId="0" borderId="28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 wrapText="1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1" fillId="0" borderId="2" numFmtId="0" xfId="0" applyFont="1" applyBorder="1"/>
    <xf fontId="1" fillId="0" borderId="2" numFmtId="0" xfId="0" applyFont="1" applyBorder="1" applyAlignment="1">
      <alignment horizontal="center" vertical="center"/>
    </xf>
    <xf fontId="1" fillId="0" borderId="29" numFmtId="163" xfId="1" applyNumberFormat="1" applyFont="1" applyBorder="1" applyAlignment="1">
      <alignment horizontal="center" vertical="center"/>
    </xf>
    <xf fontId="1" fillId="0" borderId="30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/>
    <xf fontId="1" fillId="0" borderId="4" numFmtId="0" xfId="0" applyFont="1" applyBorder="1" applyAlignment="1">
      <alignment horizontal="center" vertical="center"/>
    </xf>
    <xf fontId="1" fillId="0" borderId="31" numFmtId="163" xfId="1" applyNumberFormat="1" applyFont="1" applyBorder="1" applyAlignment="1">
      <alignment horizontal="center" vertical="center"/>
    </xf>
    <xf fontId="1" fillId="0" borderId="32" numFmtId="0" xfId="0" applyFont="1" applyBorder="1" applyAlignment="1">
      <alignment horizontal="center" vertical="center"/>
    </xf>
    <xf fontId="1" fillId="0" borderId="33" numFmtId="163" xfId="1" applyNumberFormat="1" applyFont="1" applyBorder="1" applyAlignment="1">
      <alignment horizontal="center" vertical="center"/>
    </xf>
    <xf fontId="3" fillId="0" borderId="0" numFmtId="162" xfId="0" applyNumberFormat="1" applyFont="1"/>
    <xf fontId="9" fillId="0" borderId="0" numFmtId="162" xfId="0" applyNumberFormat="1" applyFont="1"/>
    <xf fontId="3" fillId="0" borderId="0" numFmtId="0" xfId="0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emf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71563</xdr:colOff>
      <xdr:row>26</xdr:row>
      <xdr:rowOff>0</xdr:rowOff>
    </xdr:from>
    <xdr:to>
      <xdr:col>5</xdr:col>
      <xdr:colOff>1681025</xdr:colOff>
      <xdr:row>26</xdr:row>
      <xdr:rowOff>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 rot="16199998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26</xdr:row>
      <xdr:rowOff>89647</xdr:rowOff>
    </xdr:from>
    <xdr:to>
      <xdr:col>5</xdr:col>
      <xdr:colOff>1171163</xdr:colOff>
      <xdr:row>26</xdr:row>
      <xdr:rowOff>694764</xdr:rowOff>
    </xdr:to>
    <xdr:pic>
      <xdr:nvPicPr>
        <xdr:cNvPr id="36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27</xdr:row>
      <xdr:rowOff>45945</xdr:rowOff>
    </xdr:from>
    <xdr:to>
      <xdr:col>5</xdr:col>
      <xdr:colOff>1314720</xdr:colOff>
      <xdr:row>28</xdr:row>
      <xdr:rowOff>7289</xdr:rowOff>
    </xdr:to>
    <xdr:pic>
      <xdr:nvPicPr>
        <xdr:cNvPr id="38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7</xdr:row>
      <xdr:rowOff>0</xdr:rowOff>
    </xdr:from>
    <xdr:to>
      <xdr:col>11</xdr:col>
      <xdr:colOff>11920</xdr:colOff>
      <xdr:row>9</xdr:row>
      <xdr:rowOff>134618</xdr:rowOff>
    </xdr:to>
    <xdr:pic>
      <xdr:nvPicPr>
        <xdr:cNvPr id="20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373038" y="1476375"/>
          <a:ext cx="2614" cy="610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213425</xdr:colOff>
      <xdr:row>11</xdr:row>
      <xdr:rowOff>78443</xdr:rowOff>
    </xdr:from>
    <xdr:to>
      <xdr:col>5</xdr:col>
      <xdr:colOff>1590017</xdr:colOff>
      <xdr:row>11</xdr:row>
      <xdr:rowOff>600693</xdr:rowOff>
    </xdr:to>
    <xdr:pic>
      <xdr:nvPicPr>
        <xdr:cNvPr id="21" name="Picture 9"/>
        <xdr:cNvPicPr>
          <a:picLocks noChangeAspect="1" noChangeArrowheads="1"/>
        </xdr:cNvPicPr>
      </xdr:nvPicPr>
      <xdr:blipFill>
        <a:blip r:embed="rId4"/>
        <a:stretch/>
      </xdr:blipFill>
      <xdr:spPr bwMode="auto">
        <a:xfrm>
          <a:off x="5137852" y="77269043"/>
          <a:ext cx="1376590" cy="5222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134929</xdr:colOff>
      <xdr:row>12</xdr:row>
      <xdr:rowOff>145676</xdr:rowOff>
    </xdr:from>
    <xdr:to>
      <xdr:col>5</xdr:col>
      <xdr:colOff>1590017</xdr:colOff>
      <xdr:row>12</xdr:row>
      <xdr:rowOff>513612</xdr:rowOff>
    </xdr:to>
    <xdr:pic>
      <xdr:nvPicPr>
        <xdr:cNvPr id="22" name="Picture 9"/>
        <xdr:cNvPicPr>
          <a:picLocks noChangeAspect="1" noChangeArrowheads="1"/>
        </xdr:cNvPicPr>
      </xdr:nvPicPr>
      <xdr:blipFill>
        <a:blip r:embed="rId5"/>
        <a:stretch/>
      </xdr:blipFill>
      <xdr:spPr bwMode="auto">
        <a:xfrm>
          <a:off x="5059354" y="78012552"/>
          <a:ext cx="1455088" cy="3679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25304</xdr:colOff>
      <xdr:row>13</xdr:row>
      <xdr:rowOff>81643</xdr:rowOff>
    </xdr:from>
    <xdr:to>
      <xdr:col>5</xdr:col>
      <xdr:colOff>1687285</xdr:colOff>
      <xdr:row>13</xdr:row>
      <xdr:rowOff>376591</xdr:rowOff>
    </xdr:to>
    <xdr:pic>
      <xdr:nvPicPr>
        <xdr:cNvPr id="23" name="Picture 9"/>
        <xdr:cNvPicPr>
          <a:picLocks noChangeAspect="1" noChangeArrowheads="1"/>
        </xdr:cNvPicPr>
      </xdr:nvPicPr>
      <xdr:blipFill>
        <a:blip r:embed="rId6"/>
        <a:stretch/>
      </xdr:blipFill>
      <xdr:spPr bwMode="auto">
        <a:xfrm>
          <a:off x="5155197" y="10150929"/>
          <a:ext cx="1661981" cy="2949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135539</xdr:colOff>
      <xdr:row>14</xdr:row>
      <xdr:rowOff>89648</xdr:rowOff>
    </xdr:from>
    <xdr:to>
      <xdr:col>5</xdr:col>
      <xdr:colOff>1608822</xdr:colOff>
      <xdr:row>14</xdr:row>
      <xdr:rowOff>451884</xdr:rowOff>
    </xdr:to>
    <xdr:pic>
      <xdr:nvPicPr>
        <xdr:cNvPr id="24" name="Picture 9"/>
        <xdr:cNvPicPr>
          <a:picLocks noChangeAspect="1" noChangeArrowheads="1"/>
        </xdr:cNvPicPr>
      </xdr:nvPicPr>
      <xdr:blipFill>
        <a:blip r:embed="rId7"/>
        <a:stretch/>
      </xdr:blipFill>
      <xdr:spPr bwMode="auto">
        <a:xfrm>
          <a:off x="5059965" y="79242398"/>
          <a:ext cx="1473282" cy="3622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148495</xdr:colOff>
      <xdr:row>15</xdr:row>
      <xdr:rowOff>89646</xdr:rowOff>
    </xdr:from>
    <xdr:to>
      <xdr:col>5</xdr:col>
      <xdr:colOff>1631234</xdr:colOff>
      <xdr:row>15</xdr:row>
      <xdr:rowOff>429068</xdr:rowOff>
    </xdr:to>
    <xdr:pic>
      <xdr:nvPicPr>
        <xdr:cNvPr id="25" name="Picture 9"/>
        <xdr:cNvPicPr>
          <a:picLocks noChangeAspect="1" noChangeArrowheads="1"/>
        </xdr:cNvPicPr>
      </xdr:nvPicPr>
      <xdr:blipFill>
        <a:blip r:embed="rId8"/>
        <a:stretch/>
      </xdr:blipFill>
      <xdr:spPr bwMode="auto">
        <a:xfrm>
          <a:off x="5072920" y="79804371"/>
          <a:ext cx="1482739" cy="3394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148495</xdr:colOff>
      <xdr:row>16</xdr:row>
      <xdr:rowOff>110787</xdr:rowOff>
    </xdr:from>
    <xdr:to>
      <xdr:col>5</xdr:col>
      <xdr:colOff>1631234</xdr:colOff>
      <xdr:row>16</xdr:row>
      <xdr:rowOff>407926</xdr:rowOff>
    </xdr:to>
    <xdr:pic>
      <xdr:nvPicPr>
        <xdr:cNvPr id="26" name="Picture 9"/>
        <xdr:cNvPicPr>
          <a:picLocks noChangeAspect="1" noChangeArrowheads="1"/>
        </xdr:cNvPicPr>
      </xdr:nvPicPr>
      <xdr:blipFill>
        <a:blip r:embed="rId9"/>
        <a:stretch/>
      </xdr:blipFill>
      <xdr:spPr bwMode="auto">
        <a:xfrm>
          <a:off x="5072920" y="80387487"/>
          <a:ext cx="1482739" cy="2971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721199</xdr:colOff>
      <xdr:row>21</xdr:row>
      <xdr:rowOff>89646</xdr:rowOff>
    </xdr:from>
    <xdr:to>
      <xdr:col>5</xdr:col>
      <xdr:colOff>1140611</xdr:colOff>
      <xdr:row>21</xdr:row>
      <xdr:rowOff>543157</xdr:rowOff>
    </xdr:to>
    <xdr:pic>
      <xdr:nvPicPr>
        <xdr:cNvPr id="30" name="Picture 9"/>
        <xdr:cNvPicPr>
          <a:picLocks noChangeAspect="1" noChangeArrowheads="1"/>
        </xdr:cNvPicPr>
      </xdr:nvPicPr>
      <xdr:blipFill>
        <a:blip r:embed="rId10"/>
        <a:stretch/>
      </xdr:blipFill>
      <xdr:spPr bwMode="auto">
        <a:xfrm>
          <a:off x="5645624" y="83414346"/>
          <a:ext cx="419412" cy="4535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493058</xdr:colOff>
      <xdr:row>23</xdr:row>
      <xdr:rowOff>45487</xdr:rowOff>
    </xdr:from>
    <xdr:to>
      <xdr:col>5</xdr:col>
      <xdr:colOff>1246985</xdr:colOff>
      <xdr:row>23</xdr:row>
      <xdr:rowOff>818029</xdr:rowOff>
    </xdr:to>
    <xdr:pic>
      <xdr:nvPicPr>
        <xdr:cNvPr id="31" name="Picture 9"/>
        <xdr:cNvPicPr>
          <a:picLocks noChangeAspect="1" noChangeArrowheads="1"/>
        </xdr:cNvPicPr>
      </xdr:nvPicPr>
      <xdr:blipFill>
        <a:blip r:embed="rId11"/>
        <a:stretch/>
      </xdr:blipFill>
      <xdr:spPr bwMode="auto">
        <a:xfrm>
          <a:off x="5417483" y="83989313"/>
          <a:ext cx="753927" cy="7725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190500</xdr:colOff>
      <xdr:row>9</xdr:row>
      <xdr:rowOff>138548</xdr:rowOff>
    </xdr:from>
    <xdr:to>
      <xdr:col>5</xdr:col>
      <xdr:colOff>1559238</xdr:colOff>
      <xdr:row>9</xdr:row>
      <xdr:rowOff>519550</xdr:rowOff>
    </xdr:to>
    <xdr:pic>
      <xdr:nvPicPr>
        <xdr:cNvPr id="33" name="Picture 1"/>
        <xdr:cNvPicPr>
          <a:picLocks noChangeAspect="1" noChangeArrowheads="1"/>
        </xdr:cNvPicPr>
      </xdr:nvPicPr>
      <xdr:blipFill>
        <a:blip r:embed="rId12"/>
        <a:stretch/>
      </xdr:blipFill>
      <xdr:spPr bwMode="auto">
        <a:xfrm rot="5400000">
          <a:off x="5827868" y="7385907"/>
          <a:ext cx="381002" cy="1368738"/>
        </a:xfrm>
        <a:prstGeom prst="rect">
          <a:avLst/>
        </a:prstGeom>
        <a:noFill/>
      </xdr:spPr>
    </xdr:pic>
    <xdr:clientData/>
  </xdr:twoCellAnchor>
  <xdr:twoCellAnchor editAs="twoCell">
    <xdr:from>
      <xdr:col>5</xdr:col>
      <xdr:colOff>398318</xdr:colOff>
      <xdr:row>24</xdr:row>
      <xdr:rowOff>86591</xdr:rowOff>
    </xdr:from>
    <xdr:to>
      <xdr:col>5</xdr:col>
      <xdr:colOff>1209058</xdr:colOff>
      <xdr:row>24</xdr:row>
      <xdr:rowOff>1160318</xdr:rowOff>
    </xdr:to>
    <xdr:pic>
      <xdr:nvPicPr>
        <xdr:cNvPr id="34" name="Picture 9"/>
        <xdr:cNvPicPr>
          <a:picLocks noChangeAspect="1" noChangeArrowheads="1"/>
        </xdr:cNvPicPr>
      </xdr:nvPicPr>
      <xdr:blipFill>
        <a:blip r:embed="rId13"/>
        <a:stretch/>
      </xdr:blipFill>
      <xdr:spPr bwMode="auto">
        <a:xfrm>
          <a:off x="5541818" y="17041091"/>
          <a:ext cx="810740" cy="10737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76199</xdr:colOff>
      <xdr:row>2</xdr:row>
      <xdr:rowOff>123824</xdr:rowOff>
    </xdr:from>
    <xdr:to>
      <xdr:col>3</xdr:col>
      <xdr:colOff>2247900</xdr:colOff>
      <xdr:row>2</xdr:row>
      <xdr:rowOff>3381375</xdr:rowOff>
    </xdr:to>
    <xdr:pic>
      <xdr:nvPicPr>
        <xdr:cNvPr id="3" name="Рисунок 2"/>
        <xdr:cNvPicPr>
          <a:picLocks noChangeAspect="1"/>
        </xdr:cNvPicPr>
      </xdr:nvPicPr>
      <xdr:blipFill>
        <a:blip r:embed="rId14"/>
        <a:stretch/>
      </xdr:blipFill>
      <xdr:spPr bwMode="auto">
        <a:xfrm>
          <a:off x="590549" y="561974"/>
          <a:ext cx="3257550" cy="3257550"/>
        </a:xfrm>
        <a:prstGeom prst="rect">
          <a:avLst/>
        </a:prstGeom>
      </xdr:spPr>
    </xdr:pic>
    <xdr:clientData/>
  </xdr:twoCellAnchor>
  <xdr:twoCellAnchor editAs="oneCell">
    <xdr:from>
      <xdr:col>3</xdr:col>
      <xdr:colOff>2274074</xdr:colOff>
      <xdr:row>2</xdr:row>
      <xdr:rowOff>188097</xdr:rowOff>
    </xdr:from>
    <xdr:to>
      <xdr:col>5</xdr:col>
      <xdr:colOff>1752600</xdr:colOff>
      <xdr:row>2</xdr:row>
      <xdr:rowOff>3200400</xdr:rowOff>
    </xdr:to>
    <xdr:pic>
      <xdr:nvPicPr>
        <xdr:cNvPr id="5" name="Рисунок 4"/>
        <xdr:cNvPicPr>
          <a:picLocks noChangeAspect="1"/>
        </xdr:cNvPicPr>
      </xdr:nvPicPr>
      <xdr:blipFill>
        <a:blip r:embed="rId15"/>
        <a:stretch/>
      </xdr:blipFill>
      <xdr:spPr bwMode="auto">
        <a:xfrm>
          <a:off x="3874274" y="626249"/>
          <a:ext cx="3012300" cy="3012300"/>
        </a:xfrm>
        <a:prstGeom prst="rect">
          <a:avLst/>
        </a:prstGeom>
      </xdr:spPr>
    </xdr:pic>
    <xdr:clientData/>
  </xdr:twoCellAnchor>
  <xdr:twoCellAnchor editAs="oneCell">
    <xdr:from>
      <xdr:col>5</xdr:col>
      <xdr:colOff>1533523</xdr:colOff>
      <xdr:row>2</xdr:row>
      <xdr:rowOff>47625</xdr:rowOff>
    </xdr:from>
    <xdr:to>
      <xdr:col>10</xdr:col>
      <xdr:colOff>724333</xdr:colOff>
      <xdr:row>2</xdr:row>
      <xdr:rowOff>3764681</xdr:rowOff>
    </xdr:to>
    <xdr:pic>
      <xdr:nvPicPr>
        <xdr:cNvPr id="8" name="Рисунок 7"/>
        <xdr:cNvPicPr>
          <a:picLocks noChangeAspect="1"/>
        </xdr:cNvPicPr>
      </xdr:nvPicPr>
      <xdr:blipFill>
        <a:blip r:embed="rId16"/>
        <a:stretch/>
      </xdr:blipFill>
      <xdr:spPr bwMode="auto">
        <a:xfrm>
          <a:off x="6667500" y="485775"/>
          <a:ext cx="4067609" cy="3717057"/>
        </a:xfrm>
        <a:prstGeom prst="rect">
          <a:avLst/>
        </a:prstGeom>
      </xdr:spPr>
    </xdr:pic>
    <xdr:clientData/>
  </xdr:twoCellAnchor>
  <xdr:twoCellAnchor editAs="oneCell">
    <xdr:from>
      <xdr:col>5</xdr:col>
      <xdr:colOff>361950</xdr:colOff>
      <xdr:row>17</xdr:row>
      <xdr:rowOff>19050</xdr:rowOff>
    </xdr:from>
    <xdr:to>
      <xdr:col>5</xdr:col>
      <xdr:colOff>1514474</xdr:colOff>
      <xdr:row>17</xdr:row>
      <xdr:rowOff>1100723</xdr:rowOff>
    </xdr:to>
    <xdr:pic>
      <xdr:nvPicPr>
        <xdr:cNvPr id="10" name="Рисунок 9"/>
        <xdr:cNvPicPr>
          <a:picLocks noChangeAspect="1"/>
        </xdr:cNvPicPr>
      </xdr:nvPicPr>
      <xdr:blipFill>
        <a:blip r:embed="rId17"/>
        <a:stretch/>
      </xdr:blipFill>
      <xdr:spPr bwMode="auto">
        <a:xfrm>
          <a:off x="5495925" y="12363450"/>
          <a:ext cx="1152525" cy="1081673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571501</xdr:colOff>
      <xdr:row>18</xdr:row>
      <xdr:rowOff>9525</xdr:rowOff>
    </xdr:from>
    <xdr:to>
      <xdr:col>5</xdr:col>
      <xdr:colOff>1162050</xdr:colOff>
      <xdr:row>18</xdr:row>
      <xdr:rowOff>1285404</xdr:rowOff>
    </xdr:to>
    <xdr:pic>
      <xdr:nvPicPr>
        <xdr:cNvPr id="12" name="Рисунок 11"/>
        <xdr:cNvPicPr>
          <a:picLocks noChangeAspect="1"/>
        </xdr:cNvPicPr>
      </xdr:nvPicPr>
      <xdr:blipFill>
        <a:blip r:embed="rId18"/>
        <a:stretch/>
      </xdr:blipFill>
      <xdr:spPr bwMode="auto">
        <a:xfrm>
          <a:off x="5705476" y="13477875"/>
          <a:ext cx="590549" cy="1275879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20</xdr:row>
      <xdr:rowOff>9525</xdr:rowOff>
    </xdr:from>
    <xdr:to>
      <xdr:col>5</xdr:col>
      <xdr:colOff>1266732</xdr:colOff>
      <xdr:row>20</xdr:row>
      <xdr:rowOff>704762</xdr:rowOff>
    </xdr:to>
    <xdr:pic>
      <xdr:nvPicPr>
        <xdr:cNvPr id="14" name="Рисунок 13"/>
        <xdr:cNvPicPr>
          <a:picLocks noChangeAspect="1"/>
        </xdr:cNvPicPr>
      </xdr:nvPicPr>
      <xdr:blipFill>
        <a:blip r:embed="rId19"/>
        <a:stretch/>
      </xdr:blipFill>
      <xdr:spPr bwMode="auto">
        <a:xfrm>
          <a:off x="5657850" y="14811375"/>
          <a:ext cx="742857" cy="695238"/>
        </a:xfrm>
        <a:prstGeom prst="rect">
          <a:avLst/>
        </a:prstGeom>
      </xdr:spPr>
    </xdr:pic>
    <xdr:clientData/>
  </xdr:twoCellAnchor>
  <xdr:twoCellAnchor editAs="oneCell">
    <xdr:from>
      <xdr:col>5</xdr:col>
      <xdr:colOff>514350</xdr:colOff>
      <xdr:row>19</xdr:row>
      <xdr:rowOff>209550</xdr:rowOff>
    </xdr:from>
    <xdr:to>
      <xdr:col>5</xdr:col>
      <xdr:colOff>1266731</xdr:colOff>
      <xdr:row>19</xdr:row>
      <xdr:rowOff>1066693</xdr:rowOff>
    </xdr:to>
    <xdr:pic>
      <xdr:nvPicPr>
        <xdr:cNvPr id="16" name="Рисунок 15"/>
        <xdr:cNvPicPr>
          <a:picLocks noChangeAspect="1"/>
        </xdr:cNvPicPr>
      </xdr:nvPicPr>
      <xdr:blipFill>
        <a:blip r:embed="rId20"/>
        <a:stretch/>
      </xdr:blipFill>
      <xdr:spPr bwMode="auto">
        <a:xfrm>
          <a:off x="5648325" y="15011400"/>
          <a:ext cx="752381" cy="857143"/>
        </a:xfrm>
        <a:prstGeom prst="rect">
          <a:avLst/>
        </a:prstGeom>
      </xdr:spPr>
    </xdr:pic>
    <xdr:clientData/>
  </xdr:twoCellAnchor>
  <xdr:twoCellAnchor editAs="oneCell">
    <xdr:from>
      <xdr:col>5</xdr:col>
      <xdr:colOff>628651</xdr:colOff>
      <xdr:row>22</xdr:row>
      <xdr:rowOff>28576</xdr:rowOff>
    </xdr:from>
    <xdr:to>
      <xdr:col>5</xdr:col>
      <xdr:colOff>1229667</xdr:colOff>
      <xdr:row>22</xdr:row>
      <xdr:rowOff>657226</xdr:rowOff>
    </xdr:to>
    <xdr:pic>
      <xdr:nvPicPr>
        <xdr:cNvPr id="4" name="Рисунок 3"/>
        <xdr:cNvPicPr>
          <a:picLocks noChangeAspect="1"/>
        </xdr:cNvPicPr>
      </xdr:nvPicPr>
      <xdr:blipFill>
        <a:blip r:embed="rId21"/>
        <a:stretch/>
      </xdr:blipFill>
      <xdr:spPr bwMode="auto">
        <a:xfrm>
          <a:off x="5762625" y="17535526"/>
          <a:ext cx="601016" cy="62865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" zoomScale="89" workbookViewId="0">
      <selection activeCell="D28" activeCellId="0" sqref="D28"/>
    </sheetView>
  </sheetViews>
  <sheetFormatPr defaultRowHeight="14.25"/>
  <cols>
    <col customWidth="1" hidden="1" min="1" max="1" style="1" width="6.28515625"/>
    <col customWidth="1" min="2" max="2" style="2" width="7.7109375"/>
    <col customWidth="1" min="3" max="3" style="1" width="16.28515625"/>
    <col customWidth="1" min="4" max="4" style="3" width="41.28515625"/>
    <col customWidth="1" min="5" max="5" style="4" width="11.7109375"/>
    <col customWidth="1" min="6" max="6" style="1" width="26.7109375"/>
    <col customWidth="1" min="7" max="7" style="1" width="12.85546875"/>
    <col customWidth="1" min="8" max="8" style="1" width="10.140625"/>
    <col customWidth="1" min="9" max="10" style="1" width="11.7109375"/>
    <col customWidth="1" min="11" max="11" style="5" width="12.28515625"/>
    <col customWidth="1" min="12" max="12" style="1" width="10.140625"/>
    <col customWidth="1" min="13" max="13" style="6" width="26.140625"/>
    <col customWidth="1" min="14" max="14" style="1" width="12.28515625"/>
    <col customWidth="1" min="15" max="15" style="1" width="6.5703125"/>
    <col customWidth="1" min="16" max="16" style="1" width="14.140625"/>
    <col customWidth="1" min="17" max="17" style="1" width="7.28515625"/>
    <col min="18" max="19" style="1" width="9.140625"/>
    <col customWidth="1" min="20" max="20" style="1" width="12.5703125"/>
    <col min="21" max="16384" style="1" width="9.140625"/>
  </cols>
  <sheetData>
    <row r="1" ht="16.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18.75" customHeight="1">
      <c r="A2" s="9"/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</row>
    <row r="3" ht="321.75" customHeight="1">
      <c r="A3" s="11"/>
      <c r="B3" s="12"/>
      <c r="C3" s="11"/>
      <c r="D3" s="11"/>
      <c r="E3" s="11"/>
      <c r="F3" s="11"/>
      <c r="G3" s="11"/>
      <c r="H3" s="11"/>
      <c r="I3" s="11"/>
      <c r="J3" s="11"/>
      <c r="K3" s="13"/>
    </row>
    <row r="4" ht="69" customHeight="1">
      <c r="A4" s="14"/>
      <c r="B4" s="15" t="s">
        <v>2</v>
      </c>
      <c r="C4" s="16" t="s">
        <v>3</v>
      </c>
      <c r="D4" s="17" t="s">
        <v>4</v>
      </c>
      <c r="E4" s="16" t="s">
        <v>5</v>
      </c>
      <c r="F4" s="16" t="s">
        <v>6</v>
      </c>
      <c r="G4" s="16" t="s">
        <v>7</v>
      </c>
      <c r="H4" s="18" t="s">
        <v>8</v>
      </c>
      <c r="I4" s="18" t="s">
        <v>9</v>
      </c>
      <c r="J4" s="18" t="s">
        <v>10</v>
      </c>
      <c r="K4" s="19" t="s">
        <v>11</v>
      </c>
      <c r="L4" s="20" t="s">
        <v>12</v>
      </c>
      <c r="M4" s="21" t="s">
        <v>13</v>
      </c>
      <c r="N4" s="22" t="s">
        <v>14</v>
      </c>
      <c r="O4" s="23" t="s">
        <v>15</v>
      </c>
      <c r="P4" s="20" t="s">
        <v>16</v>
      </c>
      <c r="Q4" s="23" t="s">
        <v>17</v>
      </c>
      <c r="R4" s="24" t="s">
        <v>18</v>
      </c>
      <c r="S4" s="24" t="s">
        <v>19</v>
      </c>
      <c r="T4" s="24" t="s">
        <v>20</v>
      </c>
      <c r="U4" s="24" t="s">
        <v>21</v>
      </c>
    </row>
    <row r="5" ht="16.5">
      <c r="A5" s="25"/>
      <c r="B5" s="26" t="s">
        <v>22</v>
      </c>
      <c r="C5" s="27"/>
      <c r="D5" s="27"/>
      <c r="E5" s="27"/>
      <c r="F5" s="27"/>
      <c r="G5" s="27"/>
      <c r="H5" s="27"/>
      <c r="I5" s="27"/>
      <c r="J5" s="27"/>
      <c r="K5" s="28"/>
      <c r="L5" s="29"/>
      <c r="M5" s="30"/>
      <c r="N5" s="31"/>
      <c r="O5" s="32"/>
      <c r="P5" s="32"/>
      <c r="Q5" s="32"/>
    </row>
    <row r="6" s="33" customFormat="1" ht="34.5" customHeight="1">
      <c r="A6" s="34"/>
      <c r="B6" s="35">
        <v>1</v>
      </c>
      <c r="C6" s="36" t="s">
        <v>23</v>
      </c>
      <c r="D6" s="37" t="s">
        <v>24</v>
      </c>
      <c r="E6" s="38">
        <v>2</v>
      </c>
      <c r="F6" s="38"/>
      <c r="G6" s="38" t="s">
        <v>25</v>
      </c>
      <c r="H6" s="38">
        <v>1.3</v>
      </c>
      <c r="I6" s="38">
        <v>0.10000000000000001</v>
      </c>
      <c r="J6" s="38">
        <v>0.10000000000000001</v>
      </c>
      <c r="K6" s="39">
        <f t="shared" ref="K6:K9" si="0">H6*I6*J6</f>
        <v>0.013000000000000001</v>
      </c>
      <c r="L6" s="29">
        <f t="shared" ref="L6:L9" si="1">K6*E6</f>
        <v>0.026000000000000002</v>
      </c>
      <c r="M6" s="30"/>
      <c r="N6" s="22"/>
      <c r="O6" s="20"/>
      <c r="P6" s="20"/>
      <c r="Q6" s="20"/>
    </row>
    <row r="7" s="33" customFormat="1" ht="34.5" customHeight="1">
      <c r="A7" s="34"/>
      <c r="B7" s="40">
        <v>2</v>
      </c>
      <c r="C7" s="36" t="s">
        <v>26</v>
      </c>
      <c r="D7" s="37" t="s">
        <v>27</v>
      </c>
      <c r="E7" s="20">
        <v>1</v>
      </c>
      <c r="F7" s="20"/>
      <c r="G7" s="20" t="s">
        <v>25</v>
      </c>
      <c r="H7" s="20">
        <v>1</v>
      </c>
      <c r="I7" s="20">
        <v>0.10000000000000001</v>
      </c>
      <c r="J7" s="20">
        <v>0.10000000000000001</v>
      </c>
      <c r="K7" s="41">
        <f t="shared" si="0"/>
        <v>0.010000000000000002</v>
      </c>
      <c r="L7" s="29">
        <f t="shared" si="1"/>
        <v>0.010000000000000002</v>
      </c>
      <c r="M7" s="30"/>
      <c r="N7" s="22"/>
      <c r="O7" s="20"/>
      <c r="P7" s="20"/>
      <c r="Q7" s="20"/>
    </row>
    <row r="8" s="33" customFormat="1" ht="18.75" customHeight="1">
      <c r="A8" s="34"/>
      <c r="B8" s="40">
        <v>3</v>
      </c>
      <c r="C8" s="42" t="s">
        <v>28</v>
      </c>
      <c r="D8" s="20" t="s">
        <v>29</v>
      </c>
      <c r="E8" s="20">
        <v>1</v>
      </c>
      <c r="F8" s="20"/>
      <c r="G8" s="20" t="s">
        <v>25</v>
      </c>
      <c r="H8" s="20">
        <v>0.40000000000000002</v>
      </c>
      <c r="I8" s="20">
        <v>0.089999999999999997</v>
      </c>
      <c r="J8" s="20">
        <v>0.089999999999999997</v>
      </c>
      <c r="K8" s="41">
        <f t="shared" si="0"/>
        <v>0.0032399999999999998</v>
      </c>
      <c r="L8" s="29">
        <f t="shared" si="1"/>
        <v>0.0032399999999999998</v>
      </c>
      <c r="M8" s="30"/>
      <c r="N8" s="22"/>
      <c r="O8" s="20"/>
      <c r="P8" s="20"/>
      <c r="Q8" s="20"/>
    </row>
    <row r="9" s="33" customFormat="1" ht="18.75" customHeight="1">
      <c r="A9" s="34"/>
      <c r="B9" s="40">
        <v>4</v>
      </c>
      <c r="C9" s="42" t="s">
        <v>30</v>
      </c>
      <c r="D9" s="20" t="s">
        <v>31</v>
      </c>
      <c r="E9" s="20">
        <v>2</v>
      </c>
      <c r="F9" s="20"/>
      <c r="G9" s="20" t="s">
        <v>25</v>
      </c>
      <c r="H9" s="20">
        <v>0.59999999999999998</v>
      </c>
      <c r="I9" s="20">
        <v>0.089999999999999997</v>
      </c>
      <c r="J9" s="20">
        <v>0.089999999999999997</v>
      </c>
      <c r="K9" s="41">
        <f t="shared" si="0"/>
        <v>0.0048599999999999997</v>
      </c>
      <c r="L9" s="29">
        <f t="shared" si="1"/>
        <v>0.0097199999999999995</v>
      </c>
      <c r="M9" s="30"/>
      <c r="N9" s="22"/>
      <c r="O9" s="20"/>
      <c r="P9" s="20"/>
      <c r="Q9" s="20"/>
    </row>
    <row r="10" s="33" customFormat="1" ht="63.75" customHeight="1">
      <c r="A10" s="43"/>
      <c r="B10" s="44">
        <v>5</v>
      </c>
      <c r="C10" s="45" t="s">
        <v>32</v>
      </c>
      <c r="D10" s="46" t="s">
        <v>33</v>
      </c>
      <c r="E10" s="47">
        <v>6</v>
      </c>
      <c r="F10" s="47"/>
      <c r="G10" s="48">
        <v>7047</v>
      </c>
      <c r="H10" s="46">
        <v>0.074999999999999997</v>
      </c>
      <c r="I10" s="46">
        <v>0.074999999999999997</v>
      </c>
      <c r="J10" s="46">
        <v>0.26000000000000001</v>
      </c>
      <c r="K10" s="49">
        <f>H10*I10*J10</f>
        <v>0.0014625</v>
      </c>
      <c r="L10" s="50">
        <f t="shared" ref="L10:L28" si="2">K10*E10</f>
        <v>0.0087749999999999998</v>
      </c>
      <c r="M10" s="51" t="s">
        <v>34</v>
      </c>
      <c r="N10" s="20">
        <v>4</v>
      </c>
      <c r="O10" s="20">
        <f t="shared" ref="O10:O28" si="3">N10*E10</f>
        <v>24</v>
      </c>
      <c r="P10" s="20"/>
      <c r="Q10" s="20">
        <f t="shared" ref="Q10:Q28" si="4">P10*E10</f>
        <v>0</v>
      </c>
      <c r="R10" s="33">
        <f>E10*3</f>
        <v>18</v>
      </c>
    </row>
    <row r="11" ht="16.5">
      <c r="A11" s="25"/>
      <c r="B11" s="26" t="s">
        <v>35</v>
      </c>
      <c r="C11" s="27"/>
      <c r="D11" s="27"/>
      <c r="E11" s="27"/>
      <c r="F11" s="27"/>
      <c r="G11" s="27"/>
      <c r="H11" s="27"/>
      <c r="I11" s="27"/>
      <c r="J11" s="27"/>
      <c r="K11" s="28"/>
      <c r="L11" s="29"/>
      <c r="M11" s="30"/>
      <c r="N11" s="31"/>
      <c r="O11" s="20">
        <f t="shared" si="3"/>
        <v>0</v>
      </c>
      <c r="P11" s="32"/>
      <c r="Q11" s="20">
        <f t="shared" si="4"/>
        <v>0</v>
      </c>
    </row>
    <row r="12" s="33" customFormat="1" ht="53.25" customHeight="1">
      <c r="A12" s="25"/>
      <c r="B12" s="35">
        <v>6</v>
      </c>
      <c r="C12" s="36" t="s">
        <v>36</v>
      </c>
      <c r="D12" s="20" t="s">
        <v>37</v>
      </c>
      <c r="E12" s="38">
        <v>1</v>
      </c>
      <c r="F12" s="38"/>
      <c r="G12" s="52">
        <v>6018</v>
      </c>
      <c r="H12" s="38">
        <v>1.5</v>
      </c>
      <c r="I12" s="38">
        <v>0.53100000000000003</v>
      </c>
      <c r="J12" s="38">
        <v>0.021000000000000001</v>
      </c>
      <c r="K12" s="39">
        <f t="shared" ref="K12:K28" si="5">H12*I12*J12</f>
        <v>0.016726500000000002</v>
      </c>
      <c r="L12" s="29">
        <f t="shared" si="2"/>
        <v>0.016726500000000002</v>
      </c>
      <c r="M12" s="51" t="s">
        <v>38</v>
      </c>
      <c r="N12" s="53">
        <v>4</v>
      </c>
      <c r="O12" s="20">
        <f t="shared" si="3"/>
        <v>4</v>
      </c>
      <c r="P12" s="20"/>
      <c r="Q12" s="20">
        <f t="shared" si="4"/>
        <v>0</v>
      </c>
      <c r="S12" s="33">
        <v>4</v>
      </c>
    </row>
    <row r="13" s="33" customFormat="1" ht="53.25" customHeight="1">
      <c r="A13" s="25"/>
      <c r="B13" s="40">
        <v>7</v>
      </c>
      <c r="C13" s="36" t="s">
        <v>39</v>
      </c>
      <c r="D13" s="20" t="s">
        <v>40</v>
      </c>
      <c r="E13" s="20">
        <v>1</v>
      </c>
      <c r="F13" s="20"/>
      <c r="G13" s="54">
        <v>6018</v>
      </c>
      <c r="H13" s="20">
        <v>1.5</v>
      </c>
      <c r="I13" s="20">
        <v>0.33100000000000002</v>
      </c>
      <c r="J13" s="20">
        <v>0.021000000000000001</v>
      </c>
      <c r="K13" s="41">
        <f t="shared" si="5"/>
        <v>0.010426500000000002</v>
      </c>
      <c r="L13" s="29">
        <f t="shared" si="2"/>
        <v>0.010426500000000002</v>
      </c>
      <c r="M13" s="51" t="s">
        <v>38</v>
      </c>
      <c r="N13" s="22">
        <v>4</v>
      </c>
      <c r="O13" s="20">
        <f t="shared" si="3"/>
        <v>4</v>
      </c>
      <c r="P13" s="20"/>
      <c r="Q13" s="20">
        <f t="shared" si="4"/>
        <v>0</v>
      </c>
      <c r="S13" s="33">
        <v>4</v>
      </c>
    </row>
    <row r="14" s="33" customFormat="1" ht="48" customHeight="1">
      <c r="A14" s="25"/>
      <c r="B14" s="35">
        <v>8</v>
      </c>
      <c r="C14" s="36" t="s">
        <v>41</v>
      </c>
      <c r="D14" s="37" t="s">
        <v>42</v>
      </c>
      <c r="E14" s="20">
        <v>4</v>
      </c>
      <c r="F14" s="20"/>
      <c r="G14" s="54">
        <v>6018</v>
      </c>
      <c r="H14" s="20">
        <v>1.5</v>
      </c>
      <c r="I14" s="20">
        <v>0.29999999999999999</v>
      </c>
      <c r="J14" s="20">
        <v>0.021000000000000001</v>
      </c>
      <c r="K14" s="41">
        <f t="shared" si="5"/>
        <v>0.0094500000000000001</v>
      </c>
      <c r="L14" s="29">
        <f t="shared" si="2"/>
        <v>0.0378</v>
      </c>
      <c r="M14" s="51" t="s">
        <v>38</v>
      </c>
      <c r="N14" s="22">
        <v>4</v>
      </c>
      <c r="O14" s="20">
        <f t="shared" si="3"/>
        <v>16</v>
      </c>
      <c r="P14" s="20"/>
      <c r="Q14" s="20">
        <f t="shared" si="4"/>
        <v>0</v>
      </c>
      <c r="S14" s="33">
        <v>8</v>
      </c>
    </row>
    <row r="15" s="33" customFormat="1" ht="44.25" customHeight="1">
      <c r="A15" s="25"/>
      <c r="B15" s="40">
        <v>9</v>
      </c>
      <c r="C15" s="36" t="s">
        <v>43</v>
      </c>
      <c r="D15" s="20" t="s">
        <v>44</v>
      </c>
      <c r="E15" s="20">
        <v>1</v>
      </c>
      <c r="F15" s="20"/>
      <c r="G15" s="55">
        <v>3020</v>
      </c>
      <c r="H15" s="20">
        <v>1.597</v>
      </c>
      <c r="I15" s="20">
        <v>0.34399999999999997</v>
      </c>
      <c r="J15" s="20">
        <v>0.021000000000000001</v>
      </c>
      <c r="K15" s="41">
        <f t="shared" si="5"/>
        <v>0.011536728</v>
      </c>
      <c r="L15" s="29">
        <f t="shared" si="2"/>
        <v>0.011536728</v>
      </c>
      <c r="M15" s="51" t="s">
        <v>45</v>
      </c>
      <c r="N15" s="22">
        <v>1</v>
      </c>
      <c r="O15" s="20">
        <f t="shared" si="3"/>
        <v>1</v>
      </c>
      <c r="P15" s="20"/>
      <c r="Q15" s="20">
        <f t="shared" si="4"/>
        <v>0</v>
      </c>
      <c r="S15" s="33">
        <v>1</v>
      </c>
    </row>
    <row r="16" s="33" customFormat="1" ht="44.25" customHeight="1">
      <c r="A16" s="25"/>
      <c r="B16" s="35">
        <v>10</v>
      </c>
      <c r="C16" s="36" t="s">
        <v>46</v>
      </c>
      <c r="D16" s="20" t="s">
        <v>47</v>
      </c>
      <c r="E16" s="20">
        <v>1</v>
      </c>
      <c r="F16" s="20"/>
      <c r="G16" s="55">
        <v>3020</v>
      </c>
      <c r="H16" s="20">
        <v>1.694</v>
      </c>
      <c r="I16" s="20">
        <v>0.34399999999999997</v>
      </c>
      <c r="J16" s="20">
        <v>0.021000000000000001</v>
      </c>
      <c r="K16" s="41">
        <f t="shared" si="5"/>
        <v>0.012237455999999999</v>
      </c>
      <c r="L16" s="29">
        <f t="shared" si="2"/>
        <v>0.012237455999999999</v>
      </c>
      <c r="M16" s="51" t="s">
        <v>48</v>
      </c>
      <c r="N16" s="22">
        <v>2</v>
      </c>
      <c r="O16" s="20">
        <f t="shared" si="3"/>
        <v>2</v>
      </c>
      <c r="P16" s="20"/>
      <c r="Q16" s="20">
        <f t="shared" si="4"/>
        <v>0</v>
      </c>
      <c r="S16" s="33">
        <v>1</v>
      </c>
    </row>
    <row r="17" s="33" customFormat="1" ht="44.25" customHeight="1">
      <c r="A17" s="25"/>
      <c r="B17" s="40">
        <v>11</v>
      </c>
      <c r="C17" s="36" t="s">
        <v>49</v>
      </c>
      <c r="D17" s="20" t="s">
        <v>50</v>
      </c>
      <c r="E17" s="20">
        <v>2</v>
      </c>
      <c r="F17" s="20"/>
      <c r="G17" s="56">
        <v>5012</v>
      </c>
      <c r="H17" s="20">
        <v>1.5620000000000001</v>
      </c>
      <c r="I17" s="20">
        <v>0.20000000000000001</v>
      </c>
      <c r="J17" s="20">
        <v>0.021000000000000001</v>
      </c>
      <c r="K17" s="41">
        <f t="shared" si="5"/>
        <v>0.006560400000000001</v>
      </c>
      <c r="L17" s="29">
        <f t="shared" si="2"/>
        <v>0.013120800000000002</v>
      </c>
      <c r="M17" s="30"/>
      <c r="N17" s="22"/>
      <c r="O17" s="20">
        <f t="shared" si="3"/>
        <v>0</v>
      </c>
      <c r="P17" s="20"/>
      <c r="Q17" s="20">
        <f t="shared" si="4"/>
        <v>0</v>
      </c>
    </row>
    <row r="18" s="33" customFormat="1" ht="88.5" customHeight="1">
      <c r="A18" s="25"/>
      <c r="B18" s="35">
        <v>12</v>
      </c>
      <c r="C18" s="36" t="s">
        <v>51</v>
      </c>
      <c r="D18" s="20" t="s">
        <v>52</v>
      </c>
      <c r="E18" s="20">
        <v>1</v>
      </c>
      <c r="F18" s="20"/>
      <c r="G18" s="56">
        <v>5012</v>
      </c>
      <c r="H18" s="20">
        <v>1.113</v>
      </c>
      <c r="I18" s="20">
        <v>1.0389999999999999</v>
      </c>
      <c r="J18" s="20">
        <v>0.014999999999999999</v>
      </c>
      <c r="K18" s="41">
        <f t="shared" si="5"/>
        <v>0.017346104999999997</v>
      </c>
      <c r="L18" s="29">
        <f t="shared" si="2"/>
        <v>0.017346104999999997</v>
      </c>
      <c r="M18" s="51" t="s">
        <v>53</v>
      </c>
      <c r="N18" s="22">
        <v>3</v>
      </c>
      <c r="O18" s="20">
        <f t="shared" si="3"/>
        <v>3</v>
      </c>
      <c r="P18" s="20"/>
      <c r="Q18" s="20">
        <f t="shared" si="4"/>
        <v>0</v>
      </c>
      <c r="S18" s="33">
        <v>3</v>
      </c>
    </row>
    <row r="19" s="33" customFormat="1" ht="105" customHeight="1">
      <c r="A19" s="25"/>
      <c r="B19" s="40">
        <v>13</v>
      </c>
      <c r="C19" s="36" t="s">
        <v>54</v>
      </c>
      <c r="D19" s="20" t="s">
        <v>55</v>
      </c>
      <c r="E19" s="20">
        <v>1</v>
      </c>
      <c r="F19" s="20"/>
      <c r="G19" s="57">
        <v>8014</v>
      </c>
      <c r="H19" s="20">
        <v>0.85499999999999998</v>
      </c>
      <c r="I19" s="20">
        <v>0.13</v>
      </c>
      <c r="J19" s="20">
        <v>0.014999999999999999</v>
      </c>
      <c r="K19" s="41">
        <f t="shared" si="5"/>
        <v>0.0016672499999999999</v>
      </c>
      <c r="L19" s="29">
        <f t="shared" si="2"/>
        <v>0.0016672499999999999</v>
      </c>
      <c r="M19" s="51" t="s">
        <v>56</v>
      </c>
      <c r="N19" s="22"/>
      <c r="O19" s="20">
        <f t="shared" si="3"/>
        <v>0</v>
      </c>
      <c r="P19" s="20">
        <v>2</v>
      </c>
      <c r="Q19" s="20">
        <f t="shared" si="4"/>
        <v>2</v>
      </c>
      <c r="T19" s="33">
        <v>2</v>
      </c>
    </row>
    <row r="20" s="33" customFormat="1" ht="105" customHeight="1">
      <c r="A20" s="25"/>
      <c r="B20" s="35">
        <v>14</v>
      </c>
      <c r="C20" s="36" t="s">
        <v>57</v>
      </c>
      <c r="D20" s="20" t="s">
        <v>58</v>
      </c>
      <c r="E20" s="20">
        <v>2</v>
      </c>
      <c r="F20" s="20"/>
      <c r="G20" s="58">
        <v>7047</v>
      </c>
      <c r="H20" s="20">
        <v>0.32700000000000001</v>
      </c>
      <c r="I20" s="20">
        <v>0.29099999999999998</v>
      </c>
      <c r="J20" s="20">
        <v>0.014999999999999999</v>
      </c>
      <c r="K20" s="41">
        <f t="shared" si="5"/>
        <v>0.0014273549999999997</v>
      </c>
      <c r="L20" s="29">
        <f t="shared" si="2"/>
        <v>0.0028547099999999995</v>
      </c>
      <c r="M20" s="51" t="s">
        <v>59</v>
      </c>
      <c r="N20" s="22"/>
      <c r="O20" s="20">
        <f t="shared" si="3"/>
        <v>0</v>
      </c>
      <c r="P20" s="20"/>
      <c r="Q20" s="20"/>
      <c r="T20" s="33">
        <v>6</v>
      </c>
    </row>
    <row r="21" s="33" customFormat="1" ht="59.25" customHeight="1">
      <c r="A21" s="25"/>
      <c r="B21" s="40">
        <v>15</v>
      </c>
      <c r="C21" s="36" t="s">
        <v>60</v>
      </c>
      <c r="D21" s="20" t="s">
        <v>61</v>
      </c>
      <c r="E21" s="20">
        <v>2</v>
      </c>
      <c r="F21" s="20"/>
      <c r="G21" s="59">
        <v>2008</v>
      </c>
      <c r="H21" s="20">
        <v>0.27000000000000002</v>
      </c>
      <c r="I21" s="20">
        <v>0.27000000000000002</v>
      </c>
      <c r="J21" s="20">
        <v>0.014999999999999999</v>
      </c>
      <c r="K21" s="41">
        <f t="shared" si="5"/>
        <v>0.0010935000000000001</v>
      </c>
      <c r="L21" s="29">
        <f t="shared" si="2"/>
        <v>0.0021870000000000001</v>
      </c>
      <c r="M21" s="51" t="s">
        <v>59</v>
      </c>
      <c r="N21" s="22"/>
      <c r="O21" s="20">
        <f t="shared" si="3"/>
        <v>0</v>
      </c>
      <c r="P21" s="20">
        <v>3</v>
      </c>
      <c r="Q21" s="20">
        <f t="shared" si="4"/>
        <v>6</v>
      </c>
      <c r="T21" s="33">
        <v>6</v>
      </c>
    </row>
    <row r="22" s="33" customFormat="1" ht="48.75" customHeight="1">
      <c r="A22" s="25"/>
      <c r="B22" s="35">
        <v>16</v>
      </c>
      <c r="C22" s="36" t="s">
        <v>62</v>
      </c>
      <c r="D22" s="20" t="s">
        <v>63</v>
      </c>
      <c r="E22" s="20">
        <v>2</v>
      </c>
      <c r="F22" s="20"/>
      <c r="G22" s="54">
        <v>6018</v>
      </c>
      <c r="H22" s="20">
        <v>0.14999999999999999</v>
      </c>
      <c r="I22" s="20">
        <v>0.14999999999999999</v>
      </c>
      <c r="J22" s="20">
        <v>0.014999999999999999</v>
      </c>
      <c r="K22" s="41">
        <f t="shared" si="5"/>
        <v>0.00033749999999999996</v>
      </c>
      <c r="L22" s="29">
        <f t="shared" si="2"/>
        <v>0.00067499999999999993</v>
      </c>
      <c r="M22" s="51" t="s">
        <v>64</v>
      </c>
      <c r="N22" s="22"/>
      <c r="O22" s="20">
        <f t="shared" si="3"/>
        <v>0</v>
      </c>
      <c r="P22" s="20">
        <v>1</v>
      </c>
      <c r="Q22" s="20">
        <f t="shared" si="4"/>
        <v>2</v>
      </c>
      <c r="T22" s="33">
        <v>2</v>
      </c>
    </row>
    <row r="23" s="33" customFormat="1" ht="59.25" customHeight="1">
      <c r="A23" s="25"/>
      <c r="B23" s="40">
        <v>17</v>
      </c>
      <c r="C23" s="36" t="s">
        <v>65</v>
      </c>
      <c r="D23" s="60" t="s">
        <v>66</v>
      </c>
      <c r="E23" s="20">
        <v>2</v>
      </c>
      <c r="F23" s="20"/>
      <c r="G23" s="55">
        <v>3020</v>
      </c>
      <c r="H23" s="20">
        <v>0.29699999999999999</v>
      </c>
      <c r="I23" s="20">
        <v>0.29699999999999999</v>
      </c>
      <c r="J23" s="20">
        <v>0.014999999999999999</v>
      </c>
      <c r="K23" s="41">
        <f t="shared" si="5"/>
        <v>0.0013231349999999998</v>
      </c>
      <c r="L23" s="29">
        <f t="shared" si="2"/>
        <v>0.0026462699999999996</v>
      </c>
      <c r="M23" s="51" t="s">
        <v>67</v>
      </c>
      <c r="N23" s="22"/>
      <c r="O23" s="20">
        <f t="shared" si="3"/>
        <v>0</v>
      </c>
      <c r="P23" s="20"/>
      <c r="Q23" s="20"/>
      <c r="R23" s="33">
        <v>2</v>
      </c>
      <c r="U23" s="33">
        <v>4</v>
      </c>
    </row>
    <row r="24" s="33" customFormat="1" ht="68.25" customHeight="1">
      <c r="A24" s="25"/>
      <c r="B24" s="35">
        <v>18</v>
      </c>
      <c r="C24" s="36" t="s">
        <v>68</v>
      </c>
      <c r="D24" s="20" t="s">
        <v>69</v>
      </c>
      <c r="E24" s="20">
        <v>1</v>
      </c>
      <c r="F24" s="20"/>
      <c r="G24" s="57">
        <v>8014</v>
      </c>
      <c r="H24" s="20">
        <v>0.60499999999999998</v>
      </c>
      <c r="I24" s="20">
        <v>0.60499999999999998</v>
      </c>
      <c r="J24" s="20">
        <v>0.021000000000000001</v>
      </c>
      <c r="K24" s="41">
        <f t="shared" si="5"/>
        <v>0.0076865250000000005</v>
      </c>
      <c r="L24" s="29">
        <f t="shared" si="2"/>
        <v>0.0076865250000000005</v>
      </c>
      <c r="M24" s="51" t="s">
        <v>67</v>
      </c>
      <c r="N24" s="22"/>
      <c r="O24" s="20">
        <f t="shared" si="3"/>
        <v>0</v>
      </c>
      <c r="P24" s="20">
        <v>4</v>
      </c>
      <c r="Q24" s="20">
        <f t="shared" si="4"/>
        <v>4</v>
      </c>
      <c r="U24" s="33">
        <v>4</v>
      </c>
    </row>
    <row r="25" s="33" customFormat="1" ht="100.5" customHeight="1">
      <c r="A25" s="61"/>
      <c r="B25" s="40">
        <v>19</v>
      </c>
      <c r="C25" s="45" t="s">
        <v>70</v>
      </c>
      <c r="D25" s="45" t="s">
        <v>71</v>
      </c>
      <c r="E25" s="62">
        <v>12</v>
      </c>
      <c r="F25" s="62"/>
      <c r="G25" s="63">
        <v>7047</v>
      </c>
      <c r="H25" s="46">
        <v>0.062</v>
      </c>
      <c r="I25" s="46">
        <v>0.062</v>
      </c>
      <c r="J25" s="46">
        <v>0.040000000000000001</v>
      </c>
      <c r="K25" s="64">
        <v>0.0001</v>
      </c>
      <c r="L25" s="29">
        <f t="shared" si="2"/>
        <v>0.0012000000000000001</v>
      </c>
      <c r="M25" s="51" t="s">
        <v>72</v>
      </c>
      <c r="N25" s="22"/>
      <c r="O25" s="20">
        <f t="shared" si="3"/>
        <v>0</v>
      </c>
      <c r="P25" s="20">
        <v>2</v>
      </c>
      <c r="Q25" s="20">
        <f t="shared" si="4"/>
        <v>24</v>
      </c>
      <c r="R25" s="33">
        <v>12</v>
      </c>
      <c r="T25" s="33">
        <v>12</v>
      </c>
    </row>
    <row r="26" s="33" customFormat="1" ht="27.75" customHeight="1">
      <c r="A26" s="65"/>
      <c r="B26" s="66" t="s">
        <v>73</v>
      </c>
      <c r="C26" s="67"/>
      <c r="D26" s="67"/>
      <c r="E26" s="67"/>
      <c r="F26" s="67"/>
      <c r="G26" s="67"/>
      <c r="H26" s="67"/>
      <c r="I26" s="67"/>
      <c r="J26" s="67"/>
      <c r="K26" s="68"/>
      <c r="L26" s="29"/>
      <c r="M26" s="30"/>
      <c r="N26" s="22"/>
      <c r="O26" s="20">
        <f t="shared" si="3"/>
        <v>0</v>
      </c>
      <c r="P26" s="20"/>
      <c r="Q26" s="20">
        <f t="shared" si="4"/>
        <v>0</v>
      </c>
    </row>
    <row r="27" ht="58.5" customHeight="1">
      <c r="A27" s="69"/>
      <c r="B27" s="70">
        <v>20</v>
      </c>
      <c r="C27" s="71" t="s">
        <v>74</v>
      </c>
      <c r="D27" s="71" t="s">
        <v>75</v>
      </c>
      <c r="E27" s="72">
        <v>39</v>
      </c>
      <c r="F27" s="73"/>
      <c r="G27" s="74" t="s">
        <v>76</v>
      </c>
      <c r="H27" s="74">
        <v>0.027</v>
      </c>
      <c r="I27" s="74">
        <v>0.027</v>
      </c>
      <c r="J27" s="74">
        <v>0.016</v>
      </c>
      <c r="K27" s="75">
        <f t="shared" si="5"/>
        <v>1.1663999999999999e-05</v>
      </c>
      <c r="L27" s="29">
        <f t="shared" si="2"/>
        <v>0.00045489599999999994</v>
      </c>
      <c r="M27" s="30"/>
      <c r="N27" s="31"/>
      <c r="O27" s="20">
        <f t="shared" si="3"/>
        <v>0</v>
      </c>
      <c r="P27" s="32"/>
      <c r="Q27" s="20">
        <f t="shared" si="4"/>
        <v>0</v>
      </c>
    </row>
    <row r="28" ht="66.75" customHeight="1">
      <c r="A28" s="76"/>
      <c r="B28" s="77">
        <v>21</v>
      </c>
      <c r="C28" s="71" t="s">
        <v>77</v>
      </c>
      <c r="D28" s="45" t="s">
        <v>78</v>
      </c>
      <c r="E28" s="10">
        <v>98</v>
      </c>
      <c r="F28" s="78"/>
      <c r="G28" s="79" t="s">
        <v>76</v>
      </c>
      <c r="H28" s="79">
        <v>0.035999999999999997</v>
      </c>
      <c r="I28" s="79">
        <v>0.035999999999999997</v>
      </c>
      <c r="J28" s="79">
        <v>0.023</v>
      </c>
      <c r="K28" s="80">
        <f t="shared" si="5"/>
        <v>2.9807999999999996e-05</v>
      </c>
      <c r="L28" s="29">
        <f t="shared" si="2"/>
        <v>0.0029211839999999998</v>
      </c>
      <c r="M28" s="30"/>
      <c r="N28" s="31"/>
      <c r="O28" s="20">
        <f t="shared" si="3"/>
        <v>0</v>
      </c>
      <c r="P28" s="32"/>
      <c r="Q28" s="20">
        <f t="shared" si="4"/>
        <v>0</v>
      </c>
      <c r="R28" s="1">
        <f>SUM(R10:R27)</f>
        <v>32</v>
      </c>
      <c r="S28" s="1">
        <f>SUM(S10:S27)</f>
        <v>21</v>
      </c>
      <c r="T28" s="1">
        <f>SUM(T10:T27)</f>
        <v>28</v>
      </c>
      <c r="U28" s="1">
        <f>SUM(U10:U27)</f>
        <v>8</v>
      </c>
    </row>
    <row r="29" ht="66">
      <c r="G29" s="81"/>
      <c r="H29" s="81"/>
      <c r="I29" s="81"/>
      <c r="J29" s="81"/>
      <c r="K29" s="82"/>
      <c r="L29" s="83">
        <f>SUM(L6:L28)</f>
        <v>0.19922192400000008</v>
      </c>
      <c r="M29" s="84"/>
      <c r="O29" s="85">
        <f>SUM(O10:O28)</f>
        <v>54</v>
      </c>
      <c r="P29" s="85"/>
      <c r="Q29" s="85">
        <f>SUM(Q10:Q28)</f>
        <v>38</v>
      </c>
      <c r="R29" s="24" t="s">
        <v>18</v>
      </c>
      <c r="S29" s="24" t="s">
        <v>19</v>
      </c>
      <c r="T29" s="24" t="s">
        <v>20</v>
      </c>
      <c r="U29" s="24" t="s">
        <v>21</v>
      </c>
    </row>
  </sheetData>
  <mergeCells count="6">
    <mergeCell ref="A1:K1"/>
    <mergeCell ref="B2:K2"/>
    <mergeCell ref="B3:K3"/>
    <mergeCell ref="B5:K5"/>
    <mergeCell ref="B11:K11"/>
    <mergeCell ref="B26:K2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32" firstPageNumber="1" fitToWidth="1" fitToHeight="0" pageOrder="downThenOver" orientation="portrait" usePrinterDefaults="1" blackAndWhite="0" draft="0" cellComments="none" useFirstPageNumber="1" errors="displayed" horizontalDpi="60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Вероника Прокина</cp:lastModifiedBy>
  <cp:revision>2</cp:revision>
  <dcterms:created xsi:type="dcterms:W3CDTF">2017-04-27T07:18:00Z</dcterms:created>
  <dcterms:modified xsi:type="dcterms:W3CDTF">2024-05-22T05:07:35Z</dcterms:modified>
</cp:coreProperties>
</file>