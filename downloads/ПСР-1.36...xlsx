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\Desktop\Все с рабочего стола28.03.22\Чертежи\ПЕСОЧНИЦЫ\ПСР-1.36 Песочница с горкой и столиком\"/>
    </mc:Choice>
  </mc:AlternateContent>
  <xr:revisionPtr revIDLastSave="0" documentId="13_ncr:1_{1E38260F-4C94-4A4C-BCCB-73336CC8CD4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S28" i="1"/>
  <c r="T28" i="1"/>
  <c r="U28" i="1"/>
  <c r="R25" i="1"/>
  <c r="R19" i="1"/>
  <c r="R16" i="1"/>
  <c r="Q6" i="1"/>
  <c r="Q28" i="1" s="1"/>
  <c r="R28" i="1" l="1"/>
  <c r="K18" i="1"/>
  <c r="K17" i="1"/>
  <c r="K16" i="1"/>
  <c r="K21" i="1"/>
  <c r="K22" i="1"/>
  <c r="K23" i="1"/>
  <c r="K24" i="1"/>
  <c r="K25" i="1"/>
  <c r="K14" i="1" l="1"/>
  <c r="K11" i="1"/>
  <c r="K10" i="1"/>
  <c r="M9" i="1"/>
  <c r="O9" i="1" l="1"/>
  <c r="K9" i="1" l="1"/>
  <c r="P9" i="1" s="1"/>
  <c r="P6" i="1" l="1"/>
</calcChain>
</file>

<file path=xl/sharedStrings.xml><?xml version="1.0" encoding="utf-8"?>
<sst xmlns="http://schemas.openxmlformats.org/spreadsheetml/2006/main" count="88" uniqueCount="81">
  <si>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</si>
  <si>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</si>
  <si>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</si>
  <si>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</si>
  <si>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</si>
  <si>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</si>
  <si>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</si>
  <si>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</si>
  <si>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</si>
  <si>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</si>
  <si>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</si>
  <si>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</si>
  <si>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</si>
  <si>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</si>
  <si>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</si>
  <si>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 xml:space="preserve">Закладная </t>
  </si>
  <si>
    <t>Металл</t>
  </si>
  <si>
    <t>Глухарь м8*80</t>
  </si>
  <si>
    <t>Глухарь м8*50</t>
  </si>
  <si>
    <t>Гайка М6</t>
  </si>
  <si>
    <t>Шайба М8</t>
  </si>
  <si>
    <t>Шайба М6</t>
  </si>
  <si>
    <t>Площадка квадратная 800х800 мм (СБ)</t>
  </si>
  <si>
    <t>Брус 100х100 L=1600</t>
  </si>
  <si>
    <t>Брус 100х100 L=321</t>
  </si>
  <si>
    <t>Брус 100х100 L=1000</t>
  </si>
  <si>
    <t>противоскользящая</t>
  </si>
  <si>
    <t>Подступенок (доска 35х90х558)</t>
  </si>
  <si>
    <t>Брус 100х100 L=300</t>
  </si>
  <si>
    <t>Болт мебельный 6*50</t>
  </si>
  <si>
    <t>Глухарь М8х60</t>
  </si>
  <si>
    <t>Глухарь М8х80</t>
  </si>
  <si>
    <t>БолтМ10х150</t>
  </si>
  <si>
    <t>БолтМ6х40</t>
  </si>
  <si>
    <t>БолтМ6х60</t>
  </si>
  <si>
    <t>БолтМ6х35</t>
  </si>
  <si>
    <t>СТОЙКИ</t>
  </si>
  <si>
    <t>ПЛОЩАДКИ</t>
  </si>
  <si>
    <t>ФАНЕРА</t>
  </si>
  <si>
    <t>ГОРКА 600</t>
  </si>
  <si>
    <t>Размер 2,83х2,66х1,6</t>
  </si>
  <si>
    <t>0013МП</t>
  </si>
  <si>
    <t>ПСР-1.36 Песочница с горкой и столиком</t>
  </si>
  <si>
    <t>ЛЕСТНИЦА 600</t>
  </si>
  <si>
    <t xml:space="preserve">Тетива лестницы 600
903 x 262 x 21 </t>
  </si>
  <si>
    <t xml:space="preserve">Перила лестницы 600
827 x 150 x 21 </t>
  </si>
  <si>
    <t xml:space="preserve">Ступень 600х150
600 x 150 x 18 </t>
  </si>
  <si>
    <t>000208</t>
  </si>
  <si>
    <t>000023</t>
  </si>
  <si>
    <t>000209</t>
  </si>
  <si>
    <t>0006ДБ</t>
  </si>
  <si>
    <t>0003СБ</t>
  </si>
  <si>
    <t>0047ДБ</t>
  </si>
  <si>
    <t>0038ДБ</t>
  </si>
  <si>
    <t>0004ДБ</t>
  </si>
  <si>
    <t>-</t>
  </si>
  <si>
    <t>Борт верхний песочницы -1.36
1528 x 150 x 21</t>
  </si>
  <si>
    <t>Панель1 песочницы -1.36
800 x 854 x 21</t>
  </si>
  <si>
    <t xml:space="preserve">Панель цифры песочницы -1.36
800 x 854 x 21 </t>
  </si>
  <si>
    <t xml:space="preserve">Столик песочницы -1.36
500 x 500 x 21  </t>
  </si>
  <si>
    <t xml:space="preserve">Борт 1500 песочницы 1.17
1500 x 300 x 21 </t>
  </si>
  <si>
    <t>001178</t>
  </si>
  <si>
    <t>001179</t>
  </si>
  <si>
    <t>001180</t>
  </si>
  <si>
    <t>001181</t>
  </si>
  <si>
    <t>000917</t>
  </si>
  <si>
    <t>0003МП</t>
  </si>
  <si>
    <t>Поручень горки дуга (570mm)</t>
  </si>
  <si>
    <t>0085МП</t>
  </si>
  <si>
    <t>Горка 600х1200 H=600</t>
  </si>
  <si>
    <t>0002СБ</t>
  </si>
  <si>
    <t>ЗАГЛУШКИ</t>
  </si>
  <si>
    <t>Заглушка 100-100.11КК</t>
  </si>
  <si>
    <t>Заглушка К4М8КС</t>
  </si>
  <si>
    <t>Заглушка К4М6КС</t>
  </si>
  <si>
    <t>МЕТИЗЫ</t>
  </si>
  <si>
    <t>КЧМ6КС</t>
  </si>
  <si>
    <t>КЧМ68КС</t>
  </si>
  <si>
    <t>100-100.11КК</t>
  </si>
  <si>
    <t>ЧЕРНЫЙ</t>
  </si>
  <si>
    <t>Уголок 55х55х40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</si>
</sst>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  <numFmt numFmtId="167" formatCode="0.00000"/>
  </numFmts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2"/>
      <name val="Arial"/>
      <family val="2"/>
      <charset val="204"/>
    </font>
    <font>
      <sz val="8"/>
      <name val="Calibri"/>
      <family val="2"/>
      <charset val="204"/>
      <scheme val="minor"/>
    </font>
    <font>
      <i/>
      <sz val="12"/>
      <color theme="0"/>
      <name val="Arial"/>
      <family val="2"/>
      <charset val="204"/>
    </font>
    <font>
      <i/>
      <sz val="12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Cambria"/>
      <family val="2"/>
      <charset val="204"/>
      <scheme val="major"/>
    </font>
    <font>
      <i/>
      <sz val="12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textRotation="90" wrapText="1"/>
    </xf>
    <xf numFmtId="0" fontId="4" fillId="0" borderId="10" xfId="0" applyFont="1" applyBorder="1"/>
    <xf numFmtId="0" fontId="7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7" xfId="0" applyFont="1" applyBorder="1"/>
    <xf numFmtId="49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6" fontId="0" fillId="0" borderId="0" xfId="1" applyNumberFormat="1" applyFont="1" applyAlignment="1"/>
    <xf numFmtId="165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165" fontId="13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center" vertical="center" wrapText="1"/>
    </xf>
    <xf numFmtId="166" fontId="6" fillId="0" borderId="2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3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 applyAlignme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17" fillId="7" borderId="25" xfId="0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 indent="1"/>
    </xf>
    <xf numFmtId="0" fontId="6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165" fontId="10" fillId="0" borderId="24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5" fontId="0" fillId="0" borderId="24" xfId="0" applyNumberFormat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 indent="1"/>
    </xf>
    <xf numFmtId="0" fontId="6" fillId="0" borderId="22" xfId="0" applyFont="1" applyBorder="1" applyAlignment="1">
      <alignment horizontal="center" vertical="center" wrapText="1"/>
    </xf>
    <xf numFmtId="165" fontId="4" fillId="0" borderId="30" xfId="0" applyNumberFormat="1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165" fontId="10" fillId="0" borderId="30" xfId="0" applyNumberFormat="1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7" fontId="4" fillId="0" borderId="23" xfId="1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 indent="1"/>
    </xf>
    <xf numFmtId="0" fontId="6" fillId="0" borderId="31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textRotation="90" wrapText="1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22" xfId="0" applyBorder="1"/>
    <xf numFmtId="0" fontId="10" fillId="0" borderId="10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1" fillId="0" borderId="0" xfId="0" applyFont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1" xfId="0" applyFont="1" applyBorder="1"/>
    <xf numFmtId="0" fontId="6" fillId="0" borderId="1" xfId="0" applyFont="1" applyBorder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29</xdr:row>
      <xdr:rowOff>0</xdr:rowOff>
    </xdr:from>
    <xdr:to>
      <xdr:col>5</xdr:col>
      <xdr:colOff>1681025</xdr:colOff>
      <xdr:row>29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 rot="16200000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136074</xdr:colOff>
      <xdr:row>5</xdr:row>
      <xdr:rowOff>176891</xdr:rowOff>
    </xdr:from>
    <xdr:to>
      <xdr:col>5</xdr:col>
      <xdr:colOff>1553724</xdr:colOff>
      <xdr:row>5</xdr:row>
      <xdr:rowOff>680356</xdr:rowOff>
    </xdr:to>
    <xdr:pic>
      <xdr:nvPicPr>
        <xdr:cNvPr id="72" name="Picture 1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-2703" b="47582"/>
        <a:stretch>
          <a:fillRect/>
        </a:stretch>
      </xdr:blipFill>
      <xdr:spPr bwMode="auto">
        <a:xfrm rot="16200000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624476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4373038" y="1476375"/>
          <a:ext cx="2614" cy="6108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233951</xdr:rowOff>
    </xdr:to>
    <xdr:pic>
      <xdr:nvPicPr>
        <xdr:cNvPr id="32" name="Picture 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233951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</xdr:row>
      <xdr:rowOff>0</xdr:rowOff>
    </xdr:from>
    <xdr:to>
      <xdr:col>15</xdr:col>
      <xdr:colOff>2427</xdr:colOff>
      <xdr:row>5</xdr:row>
      <xdr:rowOff>233951</xdr:rowOff>
    </xdr:to>
    <xdr:pic>
      <xdr:nvPicPr>
        <xdr:cNvPr id="34" name="Picture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8</xdr:row>
      <xdr:rowOff>0</xdr:rowOff>
    </xdr:from>
    <xdr:to>
      <xdr:col>15</xdr:col>
      <xdr:colOff>2427</xdr:colOff>
      <xdr:row>9</xdr:row>
      <xdr:rowOff>311512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284297</xdr:rowOff>
    </xdr:to>
    <xdr:pic>
      <xdr:nvPicPr>
        <xdr:cNvPr id="29" name="Picture 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284297</xdr:rowOff>
    </xdr:to>
    <xdr:pic>
      <xdr:nvPicPr>
        <xdr:cNvPr id="30" name="Picture 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284297</xdr:rowOff>
    </xdr:to>
    <xdr:pic>
      <xdr:nvPicPr>
        <xdr:cNvPr id="31" name="Picture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50" name="Picture 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52" name="Picture 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9</xdr:row>
      <xdr:rowOff>0</xdr:rowOff>
    </xdr:from>
    <xdr:to>
      <xdr:col>15</xdr:col>
      <xdr:colOff>2427</xdr:colOff>
      <xdr:row>10</xdr:row>
      <xdr:rowOff>284297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19" name="Picture 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21" name="Picture 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22" name="Picture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23" name="Picture 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24" name="Picture 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25" name="Picture 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26" name="Picture 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27" name="Picture 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28" name="Picture 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35" name="Picture 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37" name="Picture 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38" name="Picture 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39" name="Picture 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40" name="Picture 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42" name="Picture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44" name="Picture 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6667500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46" name="Picture 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48" name="Picture 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51" name="Picture 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53" name="Picture 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54" name="Picture 9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55" name="Picture 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56" name="Picture 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57" name="Pictur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10</xdr:row>
      <xdr:rowOff>0</xdr:rowOff>
    </xdr:from>
    <xdr:to>
      <xdr:col>15</xdr:col>
      <xdr:colOff>2427</xdr:colOff>
      <xdr:row>12</xdr:row>
      <xdr:rowOff>52976</xdr:rowOff>
    </xdr:to>
    <xdr:pic>
      <xdr:nvPicPr>
        <xdr:cNvPr id="58" name="Picture 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1" name="Picture 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3" name="Picture 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5" name="Picture 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2427</xdr:colOff>
      <xdr:row>27</xdr:row>
      <xdr:rowOff>433979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3" name="Picture 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4" name="Picture 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5" name="Picture 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7" name="Picture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8" name="Picture 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79" name="Picture 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80" name="Picture 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1" name="Picture 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2" name="Picture 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2427</xdr:colOff>
      <xdr:row>28</xdr:row>
      <xdr:rowOff>229870</xdr:rowOff>
    </xdr:to>
    <xdr:pic>
      <xdr:nvPicPr>
        <xdr:cNvPr id="83" name="Picture 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4" name="Picture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5" name="Picture 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6" name="Picture 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7" name="Picture 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8" name="Picture 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89" name="Picture 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90" name="Picture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91" name="Picture 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92" name="Picture 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93" name="Picture 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94" name="Picture 9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95" name="Picture 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96" name="Picture 9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2427</xdr:colOff>
      <xdr:row>29</xdr:row>
      <xdr:rowOff>311511</xdr:rowOff>
    </xdr:to>
    <xdr:pic>
      <xdr:nvPicPr>
        <xdr:cNvPr id="97" name="Picture 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062107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98" name="Picture 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99" name="Picture 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100" name="Picture 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101" name="Picture 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102" name="Picture 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103" name="Picture 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104" name="Picture 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2427</xdr:colOff>
      <xdr:row>30</xdr:row>
      <xdr:rowOff>107404</xdr:rowOff>
    </xdr:to>
    <xdr:pic>
      <xdr:nvPicPr>
        <xdr:cNvPr id="105" name="Picture 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494017" y="7456714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427509</xdr:colOff>
      <xdr:row>25</xdr:row>
      <xdr:rowOff>54428</xdr:rowOff>
    </xdr:from>
    <xdr:to>
      <xdr:col>5</xdr:col>
      <xdr:colOff>1279070</xdr:colOff>
      <xdr:row>25</xdr:row>
      <xdr:rowOff>1034142</xdr:rowOff>
    </xdr:to>
    <xdr:pic>
      <xdr:nvPicPr>
        <xdr:cNvPr id="154" name="Picture 9">
          <a:extLst>
            <a:ext uri="{FF2B5EF4-FFF2-40B4-BE49-F238E27FC236}">
              <a16:creationId xmlns:a16="http://schemas.microsoft.com/office/drawing/2014/main" id="{E0E6C2E4-C0B5-4327-9CB5-C1C8F504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5557402" y="18696214"/>
          <a:ext cx="851561" cy="979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1061356</xdr:colOff>
      <xdr:row>2</xdr:row>
      <xdr:rowOff>272145</xdr:rowOff>
    </xdr:from>
    <xdr:to>
      <xdr:col>6</xdr:col>
      <xdr:colOff>513119</xdr:colOff>
      <xdr:row>2</xdr:row>
      <xdr:rowOff>3864431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FE9F83C-46BC-4604-A1A1-A4B18B14F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789216"/>
          <a:ext cx="4758549" cy="3592286"/>
        </a:xfrm>
        <a:prstGeom prst="rect">
          <a:avLst/>
        </a:prstGeom>
      </xdr:spPr>
    </xdr:pic>
    <xdr:clientData/>
  </xdr:twoCellAnchor>
  <xdr:twoCellAnchor>
    <xdr:from>
      <xdr:col>5</xdr:col>
      <xdr:colOff>68035</xdr:colOff>
      <xdr:row>13</xdr:row>
      <xdr:rowOff>108858</xdr:rowOff>
    </xdr:from>
    <xdr:to>
      <xdr:col>5</xdr:col>
      <xdr:colOff>1741713</xdr:colOff>
      <xdr:row>13</xdr:row>
      <xdr:rowOff>952501</xdr:rowOff>
    </xdr:to>
    <xdr:pic>
      <xdr:nvPicPr>
        <xdr:cNvPr id="110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349C3A92-5BEF-4B8B-8AF4-5D1E6EE7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>
          <a:fillRect/>
        </a:stretch>
      </xdr:blipFill>
      <xdr:spPr bwMode="auto">
        <a:xfrm>
          <a:off x="5197928" y="9293679"/>
          <a:ext cx="1673678" cy="843643"/>
        </a:xfrm>
        <a:prstGeom prst="rect">
          <a:avLst/>
        </a:prstGeom>
        <a:noFill/>
      </xdr:spPr>
    </xdr:pic>
    <xdr:clientData/>
  </xdr:twoCellAnchor>
  <xdr:oneCellAnchor>
    <xdr:from>
      <xdr:col>5</xdr:col>
      <xdr:colOff>387186</xdr:colOff>
      <xdr:row>16</xdr:row>
      <xdr:rowOff>436666</xdr:rowOff>
    </xdr:from>
    <xdr:ext cx="1006928" cy="317439"/>
    <xdr:pic>
      <xdr:nvPicPr>
        <xdr:cNvPr id="106" name="Рисунок 105">
          <a:extLst>
            <a:ext uri="{FF2B5EF4-FFF2-40B4-BE49-F238E27FC236}">
              <a16:creationId xmlns:a16="http://schemas.microsoft.com/office/drawing/2014/main" id="{8B687952-08F8-4F71-A435-B3119FD46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7079" y="12805559"/>
          <a:ext cx="1006928" cy="317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402029</xdr:colOff>
      <xdr:row>15</xdr:row>
      <xdr:rowOff>80407</xdr:rowOff>
    </xdr:from>
    <xdr:to>
      <xdr:col>5</xdr:col>
      <xdr:colOff>1340922</xdr:colOff>
      <xdr:row>15</xdr:row>
      <xdr:rowOff>1054678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11024E57-DA21-49E5-B397-90B5FF6D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1922" y="9523764"/>
          <a:ext cx="938893" cy="974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343891</xdr:colOff>
      <xdr:row>18</xdr:row>
      <xdr:rowOff>89061</xdr:rowOff>
    </xdr:from>
    <xdr:to>
      <xdr:col>5</xdr:col>
      <xdr:colOff>1333501</xdr:colOff>
      <xdr:row>18</xdr:row>
      <xdr:rowOff>958190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EC6F143B-2E32-4154-BE57-3BA36E0FD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3784" y="14580668"/>
          <a:ext cx="989610" cy="869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136073</xdr:colOff>
      <xdr:row>20</xdr:row>
      <xdr:rowOff>394607</xdr:rowOff>
    </xdr:from>
    <xdr:to>
      <xdr:col>5</xdr:col>
      <xdr:colOff>1660073</xdr:colOff>
      <xdr:row>20</xdr:row>
      <xdr:rowOff>672314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687B98C-72C3-4781-85A6-670F38C0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5966" y="17008928"/>
          <a:ext cx="1524000" cy="277707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517072</xdr:colOff>
      <xdr:row>21</xdr:row>
      <xdr:rowOff>149678</xdr:rowOff>
    </xdr:from>
    <xdr:to>
      <xdr:col>5</xdr:col>
      <xdr:colOff>1374322</xdr:colOff>
      <xdr:row>21</xdr:row>
      <xdr:rowOff>965544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2452EE2-E885-43C2-8CD4-F4995BF5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965" y="17825357"/>
          <a:ext cx="857250" cy="815866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394607</xdr:colOff>
      <xdr:row>22</xdr:row>
      <xdr:rowOff>81642</xdr:rowOff>
    </xdr:from>
    <xdr:to>
      <xdr:col>5</xdr:col>
      <xdr:colOff>1306285</xdr:colOff>
      <xdr:row>22</xdr:row>
      <xdr:rowOff>980296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BF986ED-6C43-4755-88E7-EE0C20576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18818678"/>
          <a:ext cx="911678" cy="898654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326572</xdr:colOff>
      <xdr:row>23</xdr:row>
      <xdr:rowOff>81643</xdr:rowOff>
    </xdr:from>
    <xdr:to>
      <xdr:col>5</xdr:col>
      <xdr:colOff>1387929</xdr:colOff>
      <xdr:row>23</xdr:row>
      <xdr:rowOff>986589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1BD877D-EF91-4EB2-84D6-715E39C9C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6465" y="19880036"/>
          <a:ext cx="1061357" cy="904946"/>
        </a:xfrm>
        <a:prstGeom prst="rect">
          <a:avLst/>
        </a:prstGeom>
      </xdr:spPr>
    </xdr:pic>
    <xdr:clientData/>
  </xdr:twoCellAnchor>
  <xdr:twoCellAnchor editAs="oneCell">
    <xdr:from>
      <xdr:col>5</xdr:col>
      <xdr:colOff>149680</xdr:colOff>
      <xdr:row>24</xdr:row>
      <xdr:rowOff>258535</xdr:rowOff>
    </xdr:from>
    <xdr:to>
      <xdr:col>5</xdr:col>
      <xdr:colOff>1632858</xdr:colOff>
      <xdr:row>24</xdr:row>
      <xdr:rowOff>631121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2ED5B77-9387-4EA2-930F-16C73CF9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573" y="21118285"/>
          <a:ext cx="1483178" cy="372586"/>
        </a:xfrm>
        <a:prstGeom prst="rect">
          <a:avLst/>
        </a:prstGeom>
      </xdr:spPr>
    </xdr:pic>
    <xdr:clientData/>
  </xdr:twoCellAnchor>
  <xdr:oneCellAnchor>
    <xdr:from>
      <xdr:col>5</xdr:col>
      <xdr:colOff>571501</xdr:colOff>
      <xdr:row>27</xdr:row>
      <xdr:rowOff>136073</xdr:rowOff>
    </xdr:from>
    <xdr:ext cx="705248" cy="802822"/>
    <xdr:pic>
      <xdr:nvPicPr>
        <xdr:cNvPr id="109" name="Рисунок 108">
          <a:extLst>
            <a:ext uri="{FF2B5EF4-FFF2-40B4-BE49-F238E27FC236}">
              <a16:creationId xmlns:a16="http://schemas.microsoft.com/office/drawing/2014/main" id="{4231FE8E-2A10-421B-9F1F-60A3A35D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1394" y="13824859"/>
          <a:ext cx="705248" cy="802822"/>
        </a:xfrm>
        <a:prstGeom prst="rect">
          <a:avLst/>
        </a:prstGeom>
      </xdr:spPr>
    </xdr:pic>
    <xdr:clientData/>
  </xdr:oneCellAnchor>
  <xdr:twoCellAnchor editAs="oneCell">
    <xdr:from>
      <xdr:col>5</xdr:col>
      <xdr:colOff>449036</xdr:colOff>
      <xdr:row>6</xdr:row>
      <xdr:rowOff>81642</xdr:rowOff>
    </xdr:from>
    <xdr:to>
      <xdr:col>5</xdr:col>
      <xdr:colOff>1413783</xdr:colOff>
      <xdr:row>6</xdr:row>
      <xdr:rowOff>994299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68EC8D15-CB2A-4CE9-9575-4197A4BBA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8929" y="6545035"/>
          <a:ext cx="964747" cy="912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571500</xdr:colOff>
      <xdr:row>29</xdr:row>
      <xdr:rowOff>122464</xdr:rowOff>
    </xdr:from>
    <xdr:to>
      <xdr:col>5</xdr:col>
      <xdr:colOff>1228725</xdr:colOff>
      <xdr:row>29</xdr:row>
      <xdr:rowOff>751114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2148DA4C-9732-4AF5-9756-C94669107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1393" y="22547035"/>
          <a:ext cx="6572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367393</xdr:colOff>
      <xdr:row>30</xdr:row>
      <xdr:rowOff>68036</xdr:rowOff>
    </xdr:from>
    <xdr:to>
      <xdr:col>5</xdr:col>
      <xdr:colOff>1319893</xdr:colOff>
      <xdr:row>30</xdr:row>
      <xdr:rowOff>925286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E2B7D1B4-AAA1-4EAA-9B94-2E51037B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7286" y="23363465"/>
          <a:ext cx="9525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299357</xdr:colOff>
      <xdr:row>31</xdr:row>
      <xdr:rowOff>149679</xdr:rowOff>
    </xdr:from>
    <xdr:to>
      <xdr:col>5</xdr:col>
      <xdr:colOff>1328057</xdr:colOff>
      <xdr:row>31</xdr:row>
      <xdr:rowOff>902154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44FD5AC7-12C9-4176-ABA6-0081757F3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24465643"/>
          <a:ext cx="10287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topLeftCell="B13" zoomScale="70" zoomScaleNormal="70" workbookViewId="0">
      <selection activeCell="D26" sqref="D26"/>
    </sheetView>
  </sheetViews>
  <sheetFormatPr defaultRowHeight="15" x14ac:dyDescent="0.25"/>
  <cols>
    <col min="1" max="1" width="6.28515625" hidden="1" customWidth="1"/>
    <col min="2" max="2" width="7.7109375" style="3" customWidth="1"/>
    <col min="3" max="3" width="16.28515625" customWidth="1"/>
    <col min="4" max="4" width="41.28515625" style="4" customWidth="1"/>
    <col min="5" max="5" width="11.7109375" style="5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2.28515625" style="17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  <col min="17" max="17" width="15.7109375" customWidth="1"/>
    <col min="18" max="18" width="15" customWidth="1"/>
    <col min="19" max="19" width="13.5703125" customWidth="1"/>
    <col min="20" max="20" width="14" customWidth="1"/>
    <col min="21" max="21" width="11.42578125" customWidth="1"/>
    <col min="22" max="22" width="11.5703125" customWidth="1"/>
  </cols>
  <sheetData>
    <row r="1" spans="1:21" ht="21" x14ac:dyDescent="0.25">
      <c r="A1" s="59" t="s">
        <v>42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21" ht="18.75" customHeight="1" thickBot="1" x14ac:dyDescent="0.3">
      <c r="A2" s="8"/>
      <c r="B2" s="67" t="s">
        <v>40</v>
      </c>
      <c r="C2" s="67"/>
      <c r="D2" s="67"/>
      <c r="E2" s="67"/>
      <c r="F2" s="67"/>
      <c r="G2" s="67"/>
      <c r="H2" s="67"/>
      <c r="I2" s="67"/>
      <c r="J2" s="67"/>
      <c r="K2" s="67"/>
    </row>
    <row r="3" spans="1:21" ht="319.5" customHeight="1" thickBot="1" x14ac:dyDescent="0.3">
      <c r="A3" s="2"/>
      <c r="B3" s="64"/>
      <c r="C3" s="65"/>
      <c r="D3" s="65"/>
      <c r="E3" s="65"/>
      <c r="F3" s="65"/>
      <c r="G3" s="65"/>
      <c r="H3" s="65"/>
      <c r="I3" s="65"/>
      <c r="J3" s="65"/>
      <c r="K3" s="66"/>
    </row>
    <row r="4" spans="1:21" ht="69" customHeight="1" thickBot="1" x14ac:dyDescent="0.3">
      <c r="A4" s="12"/>
      <c r="B4" s="26" t="s">
        <v>0</v>
      </c>
      <c r="C4" s="27" t="s">
        <v>2</v>
      </c>
      <c r="D4" s="28" t="s">
        <v>1</v>
      </c>
      <c r="E4" s="27" t="s">
        <v>9</v>
      </c>
      <c r="F4" s="27" t="s">
        <v>3</v>
      </c>
      <c r="G4" s="27" t="s">
        <v>4</v>
      </c>
      <c r="H4" s="29" t="s">
        <v>5</v>
      </c>
      <c r="I4" s="29" t="s">
        <v>6</v>
      </c>
      <c r="J4" s="29" t="s">
        <v>7</v>
      </c>
      <c r="K4" s="30" t="s">
        <v>8</v>
      </c>
      <c r="L4" s="21" t="s">
        <v>10</v>
      </c>
      <c r="M4" s="31" t="s">
        <v>11</v>
      </c>
      <c r="N4" s="32" t="s">
        <v>12</v>
      </c>
      <c r="O4" s="31" t="s">
        <v>13</v>
      </c>
      <c r="P4" s="11" t="s">
        <v>14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</row>
    <row r="5" spans="1:21" ht="15.75" x14ac:dyDescent="0.25">
      <c r="A5" s="7"/>
      <c r="B5" s="112" t="s">
        <v>16</v>
      </c>
      <c r="C5" s="113"/>
      <c r="D5" s="113"/>
      <c r="E5" s="113"/>
      <c r="F5" s="113"/>
      <c r="G5" s="113"/>
      <c r="H5" s="113"/>
      <c r="I5" s="113"/>
      <c r="J5" s="113"/>
      <c r="K5" s="114"/>
      <c r="L5" s="22"/>
      <c r="M5" s="33"/>
      <c r="N5" s="33"/>
      <c r="O5" s="33"/>
      <c r="P5" s="18"/>
    </row>
    <row r="6" spans="1:21" s="1" customFormat="1" ht="63.75" customHeight="1" x14ac:dyDescent="0.25">
      <c r="A6" s="6"/>
      <c r="B6" s="15">
        <v>1</v>
      </c>
      <c r="C6" s="14" t="s">
        <v>41</v>
      </c>
      <c r="D6" s="14" t="s">
        <v>15</v>
      </c>
      <c r="E6" s="14">
        <v>11</v>
      </c>
      <c r="F6" s="14"/>
      <c r="G6" s="115">
        <v>7047</v>
      </c>
      <c r="H6" s="116"/>
      <c r="I6" s="116"/>
      <c r="J6" s="116"/>
      <c r="K6" s="116">
        <v>1E-3</v>
      </c>
      <c r="L6" s="24"/>
      <c r="M6" s="14"/>
      <c r="N6" s="14"/>
      <c r="O6" s="14"/>
      <c r="P6" s="18">
        <f t="shared" ref="P6:P9" si="0">K6*E6</f>
        <v>1.0999999999999999E-2</v>
      </c>
      <c r="Q6" s="1">
        <f>E6*3</f>
        <v>33</v>
      </c>
    </row>
    <row r="7" spans="1:21" s="1" customFormat="1" ht="81.75" customHeight="1" thickBot="1" x14ac:dyDescent="0.3">
      <c r="A7" s="111"/>
      <c r="B7" s="78">
        <v>2</v>
      </c>
      <c r="C7" s="85" t="s">
        <v>68</v>
      </c>
      <c r="D7" s="85" t="s">
        <v>67</v>
      </c>
      <c r="E7" s="85">
        <v>1</v>
      </c>
      <c r="F7" s="117"/>
      <c r="G7" s="100">
        <v>7047</v>
      </c>
      <c r="H7" s="39"/>
      <c r="I7" s="39"/>
      <c r="J7" s="39"/>
      <c r="K7" s="39"/>
      <c r="L7" s="24"/>
      <c r="M7" s="14"/>
      <c r="N7" s="14"/>
      <c r="O7" s="14"/>
      <c r="P7" s="18"/>
    </row>
    <row r="8" spans="1:21" ht="16.5" thickBot="1" x14ac:dyDescent="0.3">
      <c r="A8" s="7"/>
      <c r="B8" s="61" t="s">
        <v>36</v>
      </c>
      <c r="C8" s="62"/>
      <c r="D8" s="62"/>
      <c r="E8" s="62"/>
      <c r="F8" s="62"/>
      <c r="G8" s="62"/>
      <c r="H8" s="62"/>
      <c r="I8" s="62"/>
      <c r="J8" s="62"/>
      <c r="K8" s="63"/>
      <c r="L8" s="22"/>
      <c r="M8" s="33"/>
      <c r="N8" s="33"/>
      <c r="O8" s="14"/>
      <c r="P8" s="18"/>
    </row>
    <row r="9" spans="1:21" s="1" customFormat="1" ht="24.75" customHeight="1" x14ac:dyDescent="0.2">
      <c r="A9" s="7"/>
      <c r="B9" s="96">
        <v>3</v>
      </c>
      <c r="C9" s="97" t="s">
        <v>52</v>
      </c>
      <c r="D9" s="19" t="s">
        <v>23</v>
      </c>
      <c r="E9" s="14">
        <v>4</v>
      </c>
      <c r="F9" s="14"/>
      <c r="G9" s="98">
        <v>8014</v>
      </c>
      <c r="H9" s="15">
        <v>1.7</v>
      </c>
      <c r="I9" s="15">
        <v>0.1</v>
      </c>
      <c r="J9" s="15">
        <v>0.1</v>
      </c>
      <c r="K9" s="25">
        <f t="shared" ref="K9:K25" si="1">H9*I9*J9</f>
        <v>1.7000000000000001E-2</v>
      </c>
      <c r="L9" s="23">
        <v>3</v>
      </c>
      <c r="M9" s="14">
        <f>L9*E9</f>
        <v>12</v>
      </c>
      <c r="N9" s="15"/>
      <c r="O9" s="14">
        <f t="shared" ref="O9" si="2">N9*E9</f>
        <v>0</v>
      </c>
      <c r="P9" s="18">
        <f t="shared" si="0"/>
        <v>6.8000000000000005E-2</v>
      </c>
      <c r="Q9" s="1">
        <v>4</v>
      </c>
    </row>
    <row r="10" spans="1:21" s="1" customFormat="1" ht="26.25" customHeight="1" x14ac:dyDescent="0.2">
      <c r="A10" s="7"/>
      <c r="B10" s="96">
        <v>4</v>
      </c>
      <c r="C10" s="97" t="s">
        <v>55</v>
      </c>
      <c r="D10" s="19" t="s">
        <v>24</v>
      </c>
      <c r="E10" s="14">
        <v>1</v>
      </c>
      <c r="F10" s="14"/>
      <c r="G10" s="98">
        <v>8014</v>
      </c>
      <c r="H10" s="15">
        <v>0.8</v>
      </c>
      <c r="I10" s="15">
        <v>0.6</v>
      </c>
      <c r="J10" s="15">
        <v>0.1</v>
      </c>
      <c r="K10" s="25">
        <f t="shared" ref="K10:K18" si="3">H10*I10*J10</f>
        <v>4.8000000000000001E-2</v>
      </c>
      <c r="L10" s="23"/>
      <c r="M10" s="14"/>
      <c r="N10" s="15"/>
      <c r="O10" s="14"/>
      <c r="P10" s="18"/>
    </row>
    <row r="11" spans="1:21" s="1" customFormat="1" ht="23.25" customHeight="1" x14ac:dyDescent="0.2">
      <c r="A11" s="7"/>
      <c r="B11" s="96">
        <v>5</v>
      </c>
      <c r="C11" s="97" t="s">
        <v>53</v>
      </c>
      <c r="D11" s="19" t="s">
        <v>28</v>
      </c>
      <c r="E11" s="14">
        <v>4</v>
      </c>
      <c r="F11" s="14"/>
      <c r="G11" s="98">
        <v>8014</v>
      </c>
      <c r="H11" s="15">
        <v>1.1000000000000001</v>
      </c>
      <c r="I11" s="15">
        <v>1.1000000000000001</v>
      </c>
      <c r="J11" s="15">
        <v>2.1000000000000001E-2</v>
      </c>
      <c r="K11" s="25">
        <f t="shared" si="3"/>
        <v>2.5410000000000005E-2</v>
      </c>
      <c r="L11" s="23"/>
      <c r="M11" s="14"/>
      <c r="N11" s="15"/>
      <c r="O11" s="14"/>
      <c r="P11" s="18"/>
    </row>
    <row r="12" spans="1:21" s="1" customFormat="1" ht="21" customHeight="1" thickBot="1" x14ac:dyDescent="0.25">
      <c r="A12" s="10"/>
      <c r="B12" s="99">
        <v>6</v>
      </c>
      <c r="C12" s="95" t="s">
        <v>54</v>
      </c>
      <c r="D12" s="84" t="s">
        <v>25</v>
      </c>
      <c r="E12" s="85">
        <v>2</v>
      </c>
      <c r="F12" s="95"/>
      <c r="G12" s="98">
        <v>8014</v>
      </c>
      <c r="H12" s="77">
        <v>0.8</v>
      </c>
      <c r="I12" s="77">
        <v>0.8</v>
      </c>
      <c r="J12" s="77">
        <v>0.08</v>
      </c>
      <c r="K12" s="86">
        <v>5.1200000000000009E-2</v>
      </c>
      <c r="L12" s="23"/>
      <c r="M12" s="14"/>
      <c r="N12" s="15"/>
      <c r="O12" s="14"/>
      <c r="P12" s="18"/>
      <c r="Q12" s="1">
        <v>2</v>
      </c>
    </row>
    <row r="13" spans="1:21" s="1" customFormat="1" ht="18.75" customHeight="1" thickBot="1" x14ac:dyDescent="0.3">
      <c r="A13" s="81" t="s">
        <v>37</v>
      </c>
      <c r="B13" s="82"/>
      <c r="C13" s="82"/>
      <c r="D13" s="82"/>
      <c r="E13" s="82"/>
      <c r="F13" s="82"/>
      <c r="G13" s="82"/>
      <c r="H13" s="82"/>
      <c r="I13" s="82"/>
      <c r="J13" s="82"/>
      <c r="K13" s="83"/>
      <c r="L13" s="23"/>
      <c r="M13" s="14"/>
      <c r="N13" s="15"/>
      <c r="O13" s="14"/>
      <c r="P13" s="18"/>
    </row>
    <row r="14" spans="1:21" s="1" customFormat="1" ht="84" customHeight="1" thickBot="1" x14ac:dyDescent="0.25">
      <c r="A14" s="10"/>
      <c r="B14" s="102">
        <v>7</v>
      </c>
      <c r="C14" s="95" t="s">
        <v>51</v>
      </c>
      <c r="D14" s="101" t="s">
        <v>22</v>
      </c>
      <c r="E14" s="95">
        <v>1</v>
      </c>
      <c r="F14" s="95"/>
      <c r="G14" s="103"/>
      <c r="H14" s="87">
        <v>0.8</v>
      </c>
      <c r="I14" s="87">
        <v>0.8</v>
      </c>
      <c r="J14" s="87"/>
      <c r="K14" s="88">
        <f t="shared" si="3"/>
        <v>0</v>
      </c>
      <c r="L14" s="23"/>
      <c r="M14" s="14"/>
      <c r="N14" s="15"/>
      <c r="O14" s="14"/>
      <c r="P14" s="18"/>
      <c r="S14" s="1">
        <v>4</v>
      </c>
    </row>
    <row r="15" spans="1:21" s="1" customFormat="1" ht="19.5" customHeight="1" thickBot="1" x14ac:dyDescent="0.3">
      <c r="A15" s="81" t="s">
        <v>43</v>
      </c>
      <c r="B15" s="82"/>
      <c r="C15" s="82"/>
      <c r="D15" s="82"/>
      <c r="E15" s="82"/>
      <c r="F15" s="82"/>
      <c r="G15" s="82"/>
      <c r="H15" s="82"/>
      <c r="I15" s="82"/>
      <c r="J15" s="82"/>
      <c r="K15" s="83"/>
      <c r="L15" s="23"/>
      <c r="M15" s="14"/>
      <c r="N15" s="15"/>
      <c r="O15" s="14"/>
      <c r="P15" s="18"/>
    </row>
    <row r="16" spans="1:21" s="1" customFormat="1" ht="84" customHeight="1" x14ac:dyDescent="0.2">
      <c r="A16" s="7"/>
      <c r="B16" s="104">
        <v>8</v>
      </c>
      <c r="C16" s="105" t="s">
        <v>47</v>
      </c>
      <c r="D16" s="69" t="s">
        <v>44</v>
      </c>
      <c r="E16" s="69">
        <v>2</v>
      </c>
      <c r="F16" s="69"/>
      <c r="G16" s="106">
        <v>7047</v>
      </c>
      <c r="H16" s="79">
        <v>0.8</v>
      </c>
      <c r="I16" s="79">
        <v>0.98</v>
      </c>
      <c r="J16" s="79">
        <v>2.1000000000000001E-2</v>
      </c>
      <c r="K16" s="80">
        <f t="shared" si="3"/>
        <v>1.6464000000000003E-2</v>
      </c>
      <c r="L16" s="23"/>
      <c r="M16" s="14"/>
      <c r="N16" s="15"/>
      <c r="O16" s="14"/>
      <c r="P16" s="18"/>
      <c r="R16" s="1">
        <f>E16*4</f>
        <v>8</v>
      </c>
    </row>
    <row r="17" spans="1:22" s="1" customFormat="1" ht="84" customHeight="1" x14ac:dyDescent="0.2">
      <c r="A17" s="7"/>
      <c r="B17" s="96">
        <v>9</v>
      </c>
      <c r="C17" s="97" t="s">
        <v>48</v>
      </c>
      <c r="D17" s="14" t="s">
        <v>46</v>
      </c>
      <c r="E17" s="14">
        <v>3</v>
      </c>
      <c r="F17" s="14"/>
      <c r="G17" s="107" t="s">
        <v>26</v>
      </c>
      <c r="H17" s="53">
        <v>0.6</v>
      </c>
      <c r="I17" s="53">
        <v>0.14000000000000001</v>
      </c>
      <c r="J17" s="53">
        <v>1.7999999999999999E-2</v>
      </c>
      <c r="K17" s="54">
        <f t="shared" si="3"/>
        <v>1.5119999999999999E-3</v>
      </c>
      <c r="L17" s="23"/>
      <c r="M17" s="14"/>
      <c r="N17" s="15"/>
      <c r="O17" s="14"/>
      <c r="P17" s="18"/>
    </row>
    <row r="18" spans="1:22" s="1" customFormat="1" ht="33.75" customHeight="1" x14ac:dyDescent="0.2">
      <c r="A18" s="7"/>
      <c r="B18" s="96">
        <v>10</v>
      </c>
      <c r="C18" s="97" t="s">
        <v>50</v>
      </c>
      <c r="D18" s="14" t="s">
        <v>27</v>
      </c>
      <c r="E18" s="14">
        <v>3</v>
      </c>
      <c r="F18" s="14"/>
      <c r="G18" s="108">
        <v>8014</v>
      </c>
      <c r="H18" s="53">
        <v>3.5000000000000003E-2</v>
      </c>
      <c r="I18" s="53">
        <v>0.09</v>
      </c>
      <c r="J18" s="53">
        <v>0.55800000000000005</v>
      </c>
      <c r="K18" s="54">
        <f t="shared" si="3"/>
        <v>1.7577000000000003E-3</v>
      </c>
      <c r="L18" s="23"/>
      <c r="M18" s="14"/>
      <c r="N18" s="15"/>
      <c r="O18" s="14"/>
      <c r="P18" s="18"/>
    </row>
    <row r="19" spans="1:22" s="1" customFormat="1" ht="84" customHeight="1" thickBot="1" x14ac:dyDescent="0.25">
      <c r="A19" s="7"/>
      <c r="B19" s="99">
        <v>11</v>
      </c>
      <c r="C19" s="109" t="s">
        <v>49</v>
      </c>
      <c r="D19" s="85" t="s">
        <v>45</v>
      </c>
      <c r="E19" s="85">
        <v>4</v>
      </c>
      <c r="F19" s="85"/>
      <c r="G19" s="110">
        <v>6018</v>
      </c>
      <c r="H19" s="73">
        <v>0.8</v>
      </c>
      <c r="I19" s="73">
        <v>0.95</v>
      </c>
      <c r="J19" s="73">
        <v>2.1000000000000001E-2</v>
      </c>
      <c r="K19" s="74">
        <v>3.4499999999999999E-3</v>
      </c>
      <c r="L19" s="23"/>
      <c r="M19" s="14"/>
      <c r="N19" s="15"/>
      <c r="O19" s="14"/>
      <c r="P19" s="18"/>
      <c r="R19" s="1">
        <f>E19*4</f>
        <v>16</v>
      </c>
    </row>
    <row r="20" spans="1:22" s="1" customFormat="1" ht="21" customHeight="1" thickBot="1" x14ac:dyDescent="0.25">
      <c r="A20" s="7"/>
      <c r="B20" s="89" t="s">
        <v>38</v>
      </c>
      <c r="C20" s="90"/>
      <c r="D20" s="90"/>
      <c r="E20" s="90"/>
      <c r="F20" s="90"/>
      <c r="G20" s="90"/>
      <c r="H20" s="90"/>
      <c r="I20" s="90"/>
      <c r="J20" s="90"/>
      <c r="K20" s="91"/>
      <c r="L20" s="23"/>
      <c r="M20" s="14"/>
      <c r="N20" s="15"/>
      <c r="O20" s="14"/>
      <c r="P20" s="18"/>
    </row>
    <row r="21" spans="1:22" s="1" customFormat="1" ht="84" customHeight="1" x14ac:dyDescent="0.2">
      <c r="A21" s="7"/>
      <c r="B21" s="75">
        <v>12</v>
      </c>
      <c r="C21" s="72" t="s">
        <v>61</v>
      </c>
      <c r="D21" s="68" t="s">
        <v>56</v>
      </c>
      <c r="E21" s="69">
        <v>4</v>
      </c>
      <c r="F21" s="70"/>
      <c r="G21" s="76">
        <v>3020</v>
      </c>
      <c r="H21" s="70">
        <v>1.4850000000000001</v>
      </c>
      <c r="I21" s="70">
        <v>0.15</v>
      </c>
      <c r="J21" s="70">
        <v>2.1000000000000001E-2</v>
      </c>
      <c r="K21" s="71">
        <f t="shared" si="1"/>
        <v>4.6777500000000005E-3</v>
      </c>
      <c r="L21" s="23"/>
      <c r="M21" s="14"/>
      <c r="N21" s="15"/>
      <c r="O21" s="14"/>
      <c r="P21" s="18"/>
      <c r="Q21" s="1">
        <v>10</v>
      </c>
      <c r="T21" s="1">
        <v>14</v>
      </c>
    </row>
    <row r="22" spans="1:22" s="1" customFormat="1" ht="84" customHeight="1" x14ac:dyDescent="0.2">
      <c r="A22" s="7"/>
      <c r="B22" s="16">
        <v>13</v>
      </c>
      <c r="C22" s="72" t="s">
        <v>62</v>
      </c>
      <c r="D22" s="19" t="s">
        <v>57</v>
      </c>
      <c r="E22" s="14">
        <v>1</v>
      </c>
      <c r="F22" s="15"/>
      <c r="G22" s="52">
        <v>1023</v>
      </c>
      <c r="H22" s="15">
        <v>0.8</v>
      </c>
      <c r="I22" s="15">
        <v>0.85499999999999998</v>
      </c>
      <c r="J22" s="15">
        <v>2.1000000000000001E-2</v>
      </c>
      <c r="K22" s="25">
        <f t="shared" si="1"/>
        <v>1.4364000000000002E-2</v>
      </c>
      <c r="L22" s="23"/>
      <c r="M22" s="14"/>
      <c r="N22" s="15"/>
      <c r="O22" s="14"/>
      <c r="P22" s="18"/>
      <c r="R22" s="1">
        <v>4</v>
      </c>
    </row>
    <row r="23" spans="1:22" s="1" customFormat="1" ht="84" customHeight="1" x14ac:dyDescent="0.2">
      <c r="A23" s="7"/>
      <c r="B23" s="75">
        <v>14</v>
      </c>
      <c r="C23" s="72" t="s">
        <v>63</v>
      </c>
      <c r="D23" s="19" t="s">
        <v>58</v>
      </c>
      <c r="E23" s="14">
        <v>1</v>
      </c>
      <c r="F23" s="15"/>
      <c r="G23" s="52">
        <v>1023</v>
      </c>
      <c r="H23" s="15">
        <v>0.8</v>
      </c>
      <c r="I23" s="15">
        <v>0.85499999999999998</v>
      </c>
      <c r="J23" s="15">
        <v>2.1000000000000001E-2</v>
      </c>
      <c r="K23" s="25">
        <f t="shared" si="1"/>
        <v>1.4364000000000002E-2</v>
      </c>
      <c r="L23" s="23"/>
      <c r="M23" s="14"/>
      <c r="N23" s="15"/>
      <c r="O23" s="14"/>
      <c r="P23" s="18"/>
      <c r="R23" s="1">
        <v>4</v>
      </c>
    </row>
    <row r="24" spans="1:22" s="1" customFormat="1" ht="84" customHeight="1" x14ac:dyDescent="0.2">
      <c r="A24" s="7"/>
      <c r="B24" s="16">
        <v>15</v>
      </c>
      <c r="C24" s="72" t="s">
        <v>64</v>
      </c>
      <c r="D24" s="19" t="s">
        <v>59</v>
      </c>
      <c r="E24" s="14">
        <v>1</v>
      </c>
      <c r="F24" s="15"/>
      <c r="G24" s="52">
        <v>1023</v>
      </c>
      <c r="H24" s="15">
        <v>0.5</v>
      </c>
      <c r="I24" s="15">
        <v>0.5</v>
      </c>
      <c r="J24" s="15">
        <v>2.1000000000000001E-2</v>
      </c>
      <c r="K24" s="25">
        <f t="shared" si="1"/>
        <v>5.2500000000000003E-3</v>
      </c>
      <c r="L24" s="23"/>
      <c r="M24" s="14"/>
      <c r="N24" s="15"/>
      <c r="O24" s="14"/>
      <c r="P24" s="18"/>
      <c r="T24" s="1">
        <v>2</v>
      </c>
      <c r="U24" s="1">
        <v>4</v>
      </c>
    </row>
    <row r="25" spans="1:22" s="1" customFormat="1" ht="84" customHeight="1" x14ac:dyDescent="0.2">
      <c r="A25" s="7"/>
      <c r="B25" s="75">
        <v>16</v>
      </c>
      <c r="C25" s="72" t="s">
        <v>65</v>
      </c>
      <c r="D25" s="19" t="s">
        <v>60</v>
      </c>
      <c r="E25" s="14">
        <v>4</v>
      </c>
      <c r="F25" s="15"/>
      <c r="G25" s="38">
        <v>3020</v>
      </c>
      <c r="H25" s="15">
        <v>1.4790000000000001</v>
      </c>
      <c r="I25" s="15">
        <v>0.3</v>
      </c>
      <c r="J25" s="15">
        <v>2.1000000000000001E-2</v>
      </c>
      <c r="K25" s="25">
        <f t="shared" si="1"/>
        <v>9.3177000000000017E-3</v>
      </c>
      <c r="L25" s="23"/>
      <c r="M25" s="14"/>
      <c r="N25" s="15"/>
      <c r="O25" s="14"/>
      <c r="P25" s="18"/>
      <c r="R25" s="1">
        <f>E25*4</f>
        <v>16</v>
      </c>
      <c r="T25" s="1">
        <v>10</v>
      </c>
    </row>
    <row r="26" spans="1:22" s="1" customFormat="1" ht="88.5" customHeight="1" thickBot="1" x14ac:dyDescent="0.3">
      <c r="A26" s="10"/>
      <c r="B26" s="16">
        <v>17</v>
      </c>
      <c r="C26" s="13" t="s">
        <v>66</v>
      </c>
      <c r="D26" s="127" t="s">
        <v>80</v>
      </c>
      <c r="E26" s="37">
        <v>24</v>
      </c>
      <c r="F26" s="35"/>
      <c r="G26" s="36">
        <v>7047</v>
      </c>
      <c r="H26" s="15"/>
      <c r="I26" s="15"/>
      <c r="J26" s="15"/>
      <c r="K26" s="25"/>
      <c r="L26" s="23"/>
      <c r="M26" s="14"/>
      <c r="N26" s="15"/>
      <c r="O26" s="14"/>
      <c r="P26" s="18"/>
      <c r="S26"/>
    </row>
    <row r="27" spans="1:22" s="1" customFormat="1" ht="19.5" customHeight="1" thickBot="1" x14ac:dyDescent="0.3">
      <c r="A27" s="10"/>
      <c r="B27" s="89" t="s">
        <v>39</v>
      </c>
      <c r="C27" s="90"/>
      <c r="D27" s="90"/>
      <c r="E27" s="90"/>
      <c r="F27" s="90"/>
      <c r="G27" s="90"/>
      <c r="H27" s="90"/>
      <c r="I27" s="90"/>
      <c r="J27" s="90"/>
      <c r="K27" s="91"/>
      <c r="L27" s="23"/>
      <c r="M27" s="14"/>
      <c r="N27" s="15"/>
      <c r="O27" s="14"/>
      <c r="P27" s="18"/>
      <c r="S27"/>
    </row>
    <row r="28" spans="1:22" s="1" customFormat="1" ht="86.25" customHeight="1" thickBot="1" x14ac:dyDescent="0.25">
      <c r="A28" s="10"/>
      <c r="B28" s="75">
        <v>18</v>
      </c>
      <c r="C28" s="55" t="s">
        <v>70</v>
      </c>
      <c r="D28" s="55" t="s">
        <v>69</v>
      </c>
      <c r="E28" s="56">
        <v>1</v>
      </c>
      <c r="F28" s="56"/>
      <c r="G28" s="57">
        <v>5012</v>
      </c>
      <c r="H28" s="56">
        <v>0.6</v>
      </c>
      <c r="I28" s="56">
        <v>1.7</v>
      </c>
      <c r="J28" s="56">
        <v>1.9</v>
      </c>
      <c r="K28" s="58">
        <f t="shared" ref="K28" si="4">H28*I28*J28</f>
        <v>1.9379999999999999</v>
      </c>
      <c r="L28" s="23"/>
      <c r="M28" s="14"/>
      <c r="N28" s="15"/>
      <c r="O28" s="14"/>
      <c r="P28" s="18"/>
      <c r="Q28" s="1">
        <f>SUM(Q6:Q26)</f>
        <v>49</v>
      </c>
      <c r="R28" s="1">
        <f>SUM(R6:R26)</f>
        <v>48</v>
      </c>
      <c r="S28" s="1">
        <f>SUM(S6:S26)</f>
        <v>4</v>
      </c>
      <c r="T28" s="1">
        <f>SUM(T6:T26)</f>
        <v>26</v>
      </c>
      <c r="U28" s="1">
        <f>SUM(U6:U26)</f>
        <v>4</v>
      </c>
      <c r="V28" s="1">
        <v>4</v>
      </c>
    </row>
    <row r="29" spans="1:22" s="1" customFormat="1" ht="21" customHeight="1" thickBot="1" x14ac:dyDescent="0.3">
      <c r="A29" s="10"/>
      <c r="B29" s="89" t="s">
        <v>71</v>
      </c>
      <c r="C29" s="90"/>
      <c r="D29" s="90"/>
      <c r="E29" s="90"/>
      <c r="F29" s="90"/>
      <c r="G29" s="90"/>
      <c r="H29" s="90"/>
      <c r="I29" s="90"/>
      <c r="J29" s="90"/>
      <c r="K29" s="91"/>
      <c r="L29" s="24"/>
      <c r="M29" s="14"/>
      <c r="N29" s="14"/>
      <c r="O29" s="14"/>
      <c r="P29" s="18"/>
      <c r="Q29" t="s">
        <v>30</v>
      </c>
      <c r="R29" t="s">
        <v>31</v>
      </c>
      <c r="S29" t="s">
        <v>32</v>
      </c>
      <c r="T29" t="s">
        <v>33</v>
      </c>
      <c r="U29" t="s">
        <v>34</v>
      </c>
      <c r="V29" t="s">
        <v>35</v>
      </c>
    </row>
    <row r="30" spans="1:22" ht="68.25" customHeight="1" x14ac:dyDescent="0.25">
      <c r="A30" s="9"/>
      <c r="B30" s="69">
        <v>19</v>
      </c>
      <c r="C30" s="121" t="s">
        <v>76</v>
      </c>
      <c r="D30" s="122" t="s">
        <v>74</v>
      </c>
      <c r="E30" s="92">
        <v>46</v>
      </c>
      <c r="F30" s="123"/>
      <c r="G30" s="93" t="s">
        <v>79</v>
      </c>
      <c r="H30" s="93"/>
      <c r="I30" s="93"/>
      <c r="J30" s="93"/>
      <c r="K30" s="94"/>
      <c r="L30" s="22"/>
      <c r="M30" s="14"/>
      <c r="N30" s="33"/>
      <c r="O30" s="14"/>
      <c r="P30" s="18"/>
    </row>
    <row r="31" spans="1:22" ht="80.25" customHeight="1" x14ac:dyDescent="0.25">
      <c r="A31" s="44"/>
      <c r="B31" s="14">
        <v>20</v>
      </c>
      <c r="C31" s="124" t="s">
        <v>77</v>
      </c>
      <c r="D31" s="125" t="s">
        <v>73</v>
      </c>
      <c r="E31" s="50">
        <v>81</v>
      </c>
      <c r="F31" s="126"/>
      <c r="G31" s="93" t="s">
        <v>79</v>
      </c>
      <c r="H31" s="48"/>
      <c r="I31" s="48"/>
      <c r="J31" s="48"/>
      <c r="K31" s="49"/>
      <c r="L31" s="45"/>
      <c r="M31" s="46"/>
      <c r="N31" s="45"/>
      <c r="O31" s="46"/>
      <c r="P31" s="47"/>
    </row>
    <row r="32" spans="1:22" ht="85.5" customHeight="1" x14ac:dyDescent="0.25">
      <c r="A32" s="44"/>
      <c r="B32" s="14">
        <v>21</v>
      </c>
      <c r="C32" s="124" t="s">
        <v>78</v>
      </c>
      <c r="D32" s="125" t="s">
        <v>72</v>
      </c>
      <c r="E32" s="50">
        <v>6</v>
      </c>
      <c r="F32" s="126"/>
      <c r="G32" s="93" t="s">
        <v>79</v>
      </c>
      <c r="H32" s="48"/>
      <c r="I32" s="48"/>
      <c r="J32" s="48"/>
      <c r="K32" s="49"/>
      <c r="L32" s="45"/>
      <c r="M32" s="46"/>
      <c r="N32" s="45"/>
      <c r="O32" s="46"/>
      <c r="P32" s="47"/>
    </row>
    <row r="33" spans="1:16" ht="22.5" customHeight="1" x14ac:dyDescent="0.25">
      <c r="A33" s="44"/>
      <c r="B33" s="118" t="s">
        <v>75</v>
      </c>
      <c r="C33" s="119"/>
      <c r="D33" s="119"/>
      <c r="E33" s="119"/>
      <c r="F33" s="119"/>
      <c r="G33" s="119"/>
      <c r="H33" s="119"/>
      <c r="I33" s="119"/>
      <c r="J33" s="119"/>
      <c r="K33" s="120"/>
      <c r="L33" s="45"/>
      <c r="M33" s="46"/>
      <c r="N33" s="45"/>
      <c r="O33" s="46"/>
      <c r="P33" s="47"/>
    </row>
    <row r="34" spans="1:16" ht="30" customHeight="1" x14ac:dyDescent="0.3">
      <c r="B34" s="40"/>
      <c r="C34" s="41"/>
      <c r="D34" s="51" t="s">
        <v>17</v>
      </c>
      <c r="E34" s="42">
        <v>46</v>
      </c>
      <c r="F34" s="41"/>
      <c r="G34" s="41"/>
      <c r="H34" s="41"/>
      <c r="I34" s="41"/>
      <c r="J34" s="41"/>
      <c r="K34" s="43"/>
      <c r="M34" s="34"/>
      <c r="N34" s="34"/>
      <c r="O34" s="34"/>
      <c r="P34" s="20"/>
    </row>
    <row r="35" spans="1:16" ht="30" customHeight="1" x14ac:dyDescent="0.25">
      <c r="B35" s="40"/>
      <c r="C35" s="41"/>
      <c r="D35" s="51" t="s">
        <v>18</v>
      </c>
      <c r="E35" s="42">
        <v>35</v>
      </c>
      <c r="F35" s="41"/>
      <c r="G35" s="41"/>
      <c r="H35" s="41"/>
      <c r="I35" s="41"/>
      <c r="J35" s="41"/>
      <c r="K35" s="43"/>
    </row>
    <row r="36" spans="1:16" ht="30" customHeight="1" x14ac:dyDescent="0.25">
      <c r="B36" s="40"/>
      <c r="C36" s="41"/>
      <c r="D36" s="51" t="s">
        <v>29</v>
      </c>
      <c r="E36" s="42">
        <v>46</v>
      </c>
      <c r="F36" s="41"/>
      <c r="G36" s="41"/>
      <c r="H36" s="41"/>
      <c r="I36" s="41"/>
      <c r="J36" s="41"/>
      <c r="K36" s="43"/>
    </row>
    <row r="37" spans="1:16" ht="30" customHeight="1" x14ac:dyDescent="0.25">
      <c r="B37" s="40"/>
      <c r="C37" s="41"/>
      <c r="D37" s="51" t="s">
        <v>19</v>
      </c>
      <c r="E37" s="42">
        <v>46</v>
      </c>
      <c r="F37" s="41"/>
      <c r="G37" s="41"/>
      <c r="H37" s="41"/>
      <c r="I37" s="41"/>
      <c r="J37" s="41"/>
      <c r="K37" s="43"/>
    </row>
    <row r="38" spans="1:16" ht="30" customHeight="1" x14ac:dyDescent="0.25">
      <c r="B38" s="40"/>
      <c r="C38" s="41"/>
      <c r="D38" s="51" t="s">
        <v>20</v>
      </c>
      <c r="E38" s="42">
        <v>81</v>
      </c>
      <c r="F38" s="41"/>
      <c r="G38" s="41"/>
      <c r="H38" s="41"/>
      <c r="I38" s="41"/>
      <c r="J38" s="41"/>
      <c r="K38" s="43"/>
    </row>
    <row r="39" spans="1:16" ht="30" customHeight="1" x14ac:dyDescent="0.25">
      <c r="B39" s="40"/>
      <c r="C39" s="41"/>
      <c r="D39" s="51" t="s">
        <v>21</v>
      </c>
      <c r="E39" s="42">
        <v>46</v>
      </c>
      <c r="F39" s="41"/>
      <c r="G39" s="41"/>
      <c r="H39" s="41"/>
      <c r="I39" s="41"/>
      <c r="J39" s="41"/>
      <c r="K39" s="43"/>
    </row>
  </sheetData>
  <mergeCells count="11">
    <mergeCell ref="B33:K33"/>
    <mergeCell ref="B29:K29"/>
    <mergeCell ref="B8:K8"/>
    <mergeCell ref="A1:K1"/>
    <mergeCell ref="B5:K5"/>
    <mergeCell ref="B3:K3"/>
    <mergeCell ref="B2:K2"/>
    <mergeCell ref="A13:K13"/>
    <mergeCell ref="A15:K15"/>
    <mergeCell ref="B27:K27"/>
    <mergeCell ref="B20:K20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dcterms:created xsi:type="dcterms:W3CDTF">2017-04-27T07:18:00Z</dcterms:created>
  <dcterms:modified xsi:type="dcterms:W3CDTF">2023-04-26T06:49:33Z</dcterms:modified>
</cp:coreProperties>
</file>