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<sst xmlns="http://schemas.openxmlformats.org/spreadsheetml/2006/main" count="46" uniqueCount="46">
  <si>
    <t>ПСР-1.01</t>
  </si>
  <si>
    <t xml:space="preserve">Размер 1,58 х 1,58 х 0,30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</si>
  <si>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</si>
  <si>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</si>
  <si>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</si>
  <si>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</si>
  <si>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</si>
  <si>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</si>
  <si>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</si>
  <si>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</si>
  <si>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</si>
  <si>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</si>
  <si>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</si>
  <si>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</si>
  <si>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</si>
  <si>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</si>
  <si>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 xml:space="preserve">Объем всего</t>
  </si>
  <si>
    <t>СТОЛБЫ</t>
  </si>
  <si>
    <t>0206МП</t>
  </si>
  <si>
    <t xml:space="preserve">Закладная песочницы (3 отверстия)</t>
  </si>
  <si>
    <t>ПАНЕЛИ</t>
  </si>
  <si>
    <t>0091ДБ</t>
  </si>
  <si>
    <t xml:space="preserve">Брус 35х90 L=1500</t>
  </si>
  <si>
    <t>0089ДБ</t>
  </si>
  <si>
    <t xml:space="preserve">Брус 35х90 L=270</t>
  </si>
  <si>
    <t>000244</t>
  </si>
  <si>
    <t xml:space="preserve">Борт верхний угловой 1.01
790 x 790 x 21 </t>
  </si>
  <si>
    <t>0003МП</t>
  </si>
  <si>
    <t xml:space="preserve">Уголок крепежный 55х55х40</t>
  </si>
  <si>
    <t>ПЛАСТИК</t>
  </si>
  <si>
    <t>КЧМ6КС</t>
  </si>
  <si>
    <t xml:space="preserve">Заглушка К4М6КС</t>
  </si>
  <si>
    <t>Черный</t>
  </si>
  <si>
    <t>МЕТИЗЫ</t>
  </si>
  <si>
    <t xml:space="preserve">БолтМеб 6х40</t>
  </si>
  <si>
    <t xml:space="preserve">6х40 ОЦ. Болт мебельный с усом ГОСТ 7801-81 (DIN 607)</t>
  </si>
  <si>
    <t xml:space="preserve">БолтМеб 6х55</t>
  </si>
  <si>
    <t xml:space="preserve">6х55 ОЦ. Болт мебельный с усом ГОСТ 7801-81 (DIN 607)</t>
  </si>
  <si>
    <t xml:space="preserve">БолтМеб 8х80</t>
  </si>
  <si>
    <t xml:space="preserve">8х80 ОЦ. Болт мебельный с усом ГОСТ 7801-81 (DIN 607)</t>
  </si>
  <si>
    <t>ГайкаМ8</t>
  </si>
  <si>
    <t xml:space="preserve">М8 ОЦ. Гайка шестигранная ГОСТ 5915-70</t>
  </si>
  <si>
    <t>ГайкаМ6</t>
  </si>
  <si>
    <t xml:space="preserve">М6 ОЦ. Гайка шестигранная ГОСТ 5915-70</t>
  </si>
  <si>
    <t>ШайбаМ8</t>
  </si>
  <si>
    <t xml:space="preserve">М8 ОЦ. Шайба ГОСТ 11371-78 (DIN 125)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</si>
</sst>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0"/>
  </numFmts>
  <fonts count="19">
    <font>
      <sz val="11.000000"/>
      <color theme="1"/>
      <name val="Calibri"/>
      <scheme val="minor"/>
    </font>
    <font>
      <i/>
      <sz val="10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i/>
      <sz val="12.000000"/>
      <color theme="1"/>
      <name val="Arial"/>
    </font>
    <font>
      <b/>
      <i/>
      <sz val="10.000000"/>
      <color theme="1"/>
      <name val="Arial"/>
    </font>
    <font>
      <sz val="10.000000"/>
      <color theme="1"/>
      <name val="Arial"/>
    </font>
    <font>
      <b/>
      <i/>
      <sz val="12.000000"/>
      <color theme="1"/>
      <name val="Arial"/>
    </font>
    <font>
      <sz val="12.000000"/>
      <color theme="1"/>
      <name val="Arial"/>
    </font>
    <font>
      <b/>
      <i/>
      <sz val="11.000000"/>
      <color theme="1"/>
      <name val="Arial"/>
    </font>
    <font>
      <sz val="11.000000"/>
      <color theme="1"/>
      <name val="Arial"/>
    </font>
    <font>
      <sz val="9.000000"/>
      <color theme="1"/>
      <name val="Arial"/>
    </font>
    <font>
      <sz val="11.000000"/>
      <color theme="0"/>
      <name val="Arial"/>
    </font>
    <font>
      <sz val="12.000000"/>
      <name val="Calibri"/>
      <scheme val="minor"/>
    </font>
    <font>
      <sz val="12.000000"/>
      <color theme="1"/>
      <name val="Calibri"/>
      <scheme val="minor"/>
    </font>
    <font>
      <sz val="11.000000"/>
      <color theme="1"/>
      <name val="Cambria"/>
      <scheme val="major"/>
    </font>
    <font>
      <sz val="12.000000"/>
      <color indexed="63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3300"/>
        <bgColor rgb="FF6633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indexed="65"/>
        <bgColor indexed="65"/>
      </patternFill>
    </fill>
  </fills>
  <borders count="2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64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6" fillId="0" borderId="8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left" indent="1" vertical="center" wrapText="1"/>
    </xf>
    <xf fontId="6" fillId="0" borderId="9" numFmtId="0" xfId="0" applyFont="1" applyBorder="1" applyAlignment="1">
      <alignment horizontal="center" vertical="center" wrapText="1"/>
    </xf>
    <xf fontId="6" fillId="0" borderId="10" numFmtId="161" xfId="1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8" fillId="0" borderId="12" numFmtId="0" xfId="0" applyFont="1" applyBorder="1" applyAlignment="1">
      <alignment horizontal="center" vertical="center" wrapText="1"/>
    </xf>
    <xf fontId="5" fillId="0" borderId="13" numFmtId="0" xfId="0" applyFont="1" applyBorder="1"/>
    <xf fontId="9" fillId="3" borderId="14" numFmtId="0" xfId="0" applyFont="1" applyFill="1" applyBorder="1" applyAlignment="1">
      <alignment horizontal="center" vertical="center"/>
    </xf>
    <xf fontId="9" fillId="3" borderId="15" numFmtId="0" xfId="0" applyFont="1" applyFill="1" applyBorder="1" applyAlignment="1">
      <alignment horizontal="center" vertical="center"/>
    </xf>
    <xf fontId="9" fillId="3" borderId="16" numFmtId="0" xfId="0" applyFont="1" applyFill="1" applyBorder="1" applyAlignment="1">
      <alignment horizontal="center" vertical="center"/>
    </xf>
    <xf fontId="6" fillId="0" borderId="11" numFmtId="0" xfId="0" applyFont="1" applyBorder="1"/>
    <xf fontId="6" fillId="0" borderId="12" numFmtId="0" xfId="0" applyFont="1" applyBorder="1"/>
    <xf fontId="10" fillId="0" borderId="12" numFmtId="162" xfId="0" applyNumberFormat="1" applyFont="1" applyBorder="1" applyAlignment="1">
      <alignment horizontal="center" vertical="center" wrapText="1"/>
    </xf>
    <xf fontId="8" fillId="0" borderId="0" numFmtId="0" xfId="0" applyFont="1" applyAlignment="1">
      <alignment horizontal="center" vertical="center" wrapText="1"/>
    </xf>
    <xf fontId="11" fillId="0" borderId="17" numFmtId="0" xfId="0" applyFont="1" applyBorder="1" applyAlignment="1">
      <alignment horizontal="center" textRotation="90" vertical="center" wrapText="1"/>
    </xf>
    <xf fontId="10" fillId="0" borderId="18" numFmtId="0" xfId="0" applyFont="1" applyBorder="1" applyAlignment="1">
      <alignment horizontal="center" vertical="center" wrapText="1"/>
    </xf>
    <xf fontId="12" fillId="4" borderId="12" numFmtId="0" xfId="0" applyFont="1" applyFill="1" applyBorder="1" applyAlignment="1">
      <alignment horizontal="center" vertical="center"/>
    </xf>
    <xf fontId="13" fillId="0" borderId="12" numFmtId="0" xfId="0" applyFont="1" applyBorder="1" applyAlignment="1">
      <alignment horizontal="center" vertical="center" wrapText="1"/>
    </xf>
    <xf fontId="6" fillId="0" borderId="11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10" fillId="0" borderId="19" numFmtId="0" xfId="0" applyFont="1" applyBorder="1" applyAlignment="1">
      <alignment horizontal="center" vertical="center" wrapText="1"/>
    </xf>
    <xf fontId="10" fillId="0" borderId="12" numFmtId="49" xfId="0" applyNumberFormat="1" applyFont="1" applyBorder="1" applyAlignment="1">
      <alignment horizontal="center" vertical="center" wrapText="1"/>
    </xf>
    <xf fontId="6" fillId="0" borderId="12" numFmtId="0" xfId="0" applyFont="1" applyBorder="1" applyAlignment="1">
      <alignment horizontal="left" indent="1" vertical="center" wrapText="1"/>
    </xf>
    <xf fontId="10" fillId="0" borderId="12" numFmtId="0" xfId="0" applyFont="1" applyBorder="1" applyAlignment="1">
      <alignment horizontal="center" vertical="center" wrapText="1"/>
    </xf>
    <xf fontId="14" fillId="5" borderId="20" numFmtId="0" xfId="0" applyFont="1" applyFill="1" applyBorder="1" applyAlignment="1">
      <alignment horizontal="center" vertical="center"/>
    </xf>
    <xf fontId="10" fillId="0" borderId="21" numFmtId="162" xfId="0" applyNumberFormat="1" applyFont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 wrapText="1"/>
    </xf>
    <xf fontId="15" fillId="6" borderId="12" numFmtId="0" xfId="0" applyFont="1" applyFill="1" applyBorder="1" applyAlignment="1">
      <alignment horizontal="center" vertical="center"/>
    </xf>
    <xf fontId="16" fillId="7" borderId="12" numFmtId="0" xfId="0" applyFont="1" applyFill="1" applyBorder="1" applyAlignment="1">
      <alignment horizontal="center" vertical="center"/>
    </xf>
    <xf fontId="5" fillId="0" borderId="22" numFmtId="0" xfId="0" applyFont="1" applyBorder="1"/>
    <xf fontId="17" fillId="0" borderId="12" numFmtId="0" xfId="0" applyFont="1" applyBorder="1" applyAlignment="1">
      <alignment horizontal="center" vertical="center"/>
    </xf>
    <xf fontId="5" fillId="0" borderId="12" numFmtId="0" xfId="0" applyFont="1" applyBorder="1" applyAlignment="1">
      <alignment horizontal="center" vertical="center" wrapText="1"/>
    </xf>
    <xf fontId="12" fillId="0" borderId="12" numFmtId="0" xfId="0" applyFont="1" applyBorder="1" applyAlignment="1">
      <alignment horizontal="center" vertical="center" wrapText="1"/>
    </xf>
    <xf fontId="12" fillId="0" borderId="21" numFmtId="162" xfId="0" applyNumberFormat="1" applyFont="1" applyBorder="1" applyAlignment="1">
      <alignment horizontal="center" vertical="center" wrapText="1"/>
    </xf>
    <xf fontId="9" fillId="3" borderId="7" numFmtId="0" xfId="0" applyFont="1" applyFill="1" applyBorder="1" applyAlignment="1">
      <alignment horizontal="center" vertical="center" wrapText="1"/>
    </xf>
    <xf fontId="9" fillId="3" borderId="23" numFmtId="0" xfId="0" applyFont="1" applyFill="1" applyBorder="1" applyAlignment="1">
      <alignment horizontal="center" vertical="center" wrapText="1"/>
    </xf>
    <xf fontId="9" fillId="3" borderId="24" numFmtId="0" xfId="0" applyFont="1" applyFill="1" applyBorder="1" applyAlignment="1">
      <alignment horizontal="center" vertical="center" wrapText="1"/>
    </xf>
    <xf fontId="5" fillId="0" borderId="17" numFmtId="0" xfId="0" applyFont="1" applyBorder="1" applyAlignment="1">
      <alignment horizontal="center" vertical="center"/>
    </xf>
    <xf fontId="10" fillId="0" borderId="14" numFmtId="0" xfId="0" applyFont="1" applyBorder="1" applyAlignment="1">
      <alignment horizontal="center" vertical="center" wrapText="1"/>
    </xf>
    <xf fontId="17" fillId="0" borderId="15" numFmtId="0" xfId="0" applyFont="1" applyBorder="1" applyAlignment="1">
      <alignment horizontal="center" vertical="center"/>
    </xf>
    <xf fontId="9" fillId="0" borderId="15" numFmtId="0" xfId="0" applyFont="1" applyBorder="1" applyAlignment="1">
      <alignment horizontal="center" vertical="center"/>
    </xf>
    <xf fontId="6" fillId="0" borderId="15" numFmtId="0" xfId="0" applyFont="1" applyBorder="1"/>
    <xf fontId="5" fillId="0" borderId="15" numFmtId="0" xfId="0" applyFont="1" applyBorder="1" applyAlignment="1">
      <alignment horizontal="center" vertical="center"/>
    </xf>
    <xf fontId="5" fillId="0" borderId="16" numFmtId="163" xfId="1" applyNumberFormat="1" applyFont="1" applyBorder="1" applyAlignment="1">
      <alignment horizontal="center" vertical="center"/>
    </xf>
    <xf fontId="18" fillId="8" borderId="12" numFmtId="0" xfId="0" applyFont="1" applyFill="1" applyBorder="1" applyAlignment="1">
      <alignment vertical="center" wrapText="1"/>
    </xf>
    <xf fontId="18" fillId="8" borderId="12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15" fillId="0" borderId="12" numFmt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13</xdr:row>
      <xdr:rowOff>0</xdr:rowOff>
    </xdr:from>
    <xdr:to>
      <xdr:col>5</xdr:col>
      <xdr:colOff>1681025</xdr:colOff>
      <xdr:row>13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13</xdr:row>
      <xdr:rowOff>89647</xdr:rowOff>
    </xdr:from>
    <xdr:to>
      <xdr:col>5</xdr:col>
      <xdr:colOff>1171163</xdr:colOff>
      <xdr:row>13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136074</xdr:colOff>
      <xdr:row>5</xdr:row>
      <xdr:rowOff>176891</xdr:rowOff>
    </xdr:from>
    <xdr:to>
      <xdr:col>5</xdr:col>
      <xdr:colOff>1553724</xdr:colOff>
      <xdr:row>5</xdr:row>
      <xdr:rowOff>680356</xdr:rowOff>
    </xdr:to>
    <xdr:pic>
      <xdr:nvPicPr>
        <xdr:cNvPr id="72" name="Picture 10"/>
        <xdr:cNvPicPr>
          <a:picLocks noChangeAspect="1" noChangeArrowheads="1"/>
        </xdr:cNvPicPr>
      </xdr:nvPicPr>
      <xdr:blipFill>
        <a:blip r:embed="rId1"/>
        <a:srcRect l="0" t="0" r="-2703" b="47582"/>
        <a:stretch/>
      </xdr:blipFill>
      <xdr:spPr bwMode="auto">
        <a:xfrm rot="16199999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476250</xdr:colOff>
      <xdr:row>2</xdr:row>
      <xdr:rowOff>128113</xdr:rowOff>
    </xdr:from>
    <xdr:to>
      <xdr:col>7</xdr:col>
      <xdr:colOff>614981</xdr:colOff>
      <xdr:row>2</xdr:row>
      <xdr:rowOff>3810000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2081893" y="645184"/>
          <a:ext cx="6302767" cy="3681887"/>
        </a:xfrm>
        <a:prstGeom prst="rect">
          <a:avLst/>
        </a:prstGeom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624475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7</xdr:row>
      <xdr:rowOff>0</xdr:rowOff>
    </xdr:from>
    <xdr:to>
      <xdr:col>15</xdr:col>
      <xdr:colOff>2427</xdr:colOff>
      <xdr:row>8</xdr:row>
      <xdr:rowOff>229869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8</xdr:row>
      <xdr:rowOff>0</xdr:rowOff>
    </xdr:from>
    <xdr:to>
      <xdr:col>15</xdr:col>
      <xdr:colOff>2427</xdr:colOff>
      <xdr:row>9</xdr:row>
      <xdr:rowOff>229869</xdr:rowOff>
    </xdr:to>
    <xdr:pic>
      <xdr:nvPicPr>
        <xdr:cNvPr id="2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8</xdr:row>
      <xdr:rowOff>0</xdr:rowOff>
    </xdr:from>
    <xdr:to>
      <xdr:col>15</xdr:col>
      <xdr:colOff>2427</xdr:colOff>
      <xdr:row>9</xdr:row>
      <xdr:rowOff>229869</xdr:rowOff>
    </xdr:to>
    <xdr:pic>
      <xdr:nvPicPr>
        <xdr:cNvPr id="3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8</xdr:row>
      <xdr:rowOff>0</xdr:rowOff>
    </xdr:from>
    <xdr:to>
      <xdr:col>15</xdr:col>
      <xdr:colOff>2427</xdr:colOff>
      <xdr:row>9</xdr:row>
      <xdr:rowOff>229869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108857</xdr:colOff>
      <xdr:row>10</xdr:row>
      <xdr:rowOff>88765</xdr:rowOff>
    </xdr:from>
    <xdr:to>
      <xdr:col>5</xdr:col>
      <xdr:colOff>1578429</xdr:colOff>
      <xdr:row>10</xdr:row>
      <xdr:rowOff>1469571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5"/>
        <a:srcRect l="16152" t="7692" r="30754" b="9466"/>
        <a:stretch/>
      </xdr:blipFill>
      <xdr:spPr bwMode="auto">
        <a:xfrm>
          <a:off x="5238750" y="7940086"/>
          <a:ext cx="1469572" cy="13808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441117</xdr:colOff>
      <xdr:row>11</xdr:row>
      <xdr:rowOff>54428</xdr:rowOff>
    </xdr:from>
    <xdr:to>
      <xdr:col>5</xdr:col>
      <xdr:colOff>1251857</xdr:colOff>
      <xdr:row>11</xdr:row>
      <xdr:rowOff>1026166</xdr:rowOff>
    </xdr:to>
    <xdr:pic>
      <xdr:nvPicPr>
        <xdr:cNvPr id="17" name="Picture 9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5575092" y="16123103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8</xdr:row>
      <xdr:rowOff>0</xdr:rowOff>
    </xdr:from>
    <xdr:to>
      <xdr:col>15</xdr:col>
      <xdr:colOff>2427</xdr:colOff>
      <xdr:row>9</xdr:row>
      <xdr:rowOff>229869</xdr:rowOff>
    </xdr:to>
    <xdr:pic>
      <xdr:nvPicPr>
        <xdr:cNvPr id="1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1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2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2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2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2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2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2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3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3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3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3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4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4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4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4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4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4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4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4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4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5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5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5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229869</xdr:rowOff>
    </xdr:to>
    <xdr:pic>
      <xdr:nvPicPr>
        <xdr:cNvPr id="5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5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6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6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11</xdr:row>
      <xdr:rowOff>229869</xdr:rowOff>
    </xdr:to>
    <xdr:pic>
      <xdr:nvPicPr>
        <xdr:cNvPr id="6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6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7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8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11</xdr:row>
      <xdr:rowOff>0</xdr:rowOff>
    </xdr:from>
    <xdr:to>
      <xdr:col>15</xdr:col>
      <xdr:colOff>2427</xdr:colOff>
      <xdr:row>12</xdr:row>
      <xdr:rowOff>229869</xdr:rowOff>
    </xdr:to>
    <xdr:pic>
      <xdr:nvPicPr>
        <xdr:cNvPr id="8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8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9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9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2427</xdr:colOff>
      <xdr:row>13</xdr:row>
      <xdr:rowOff>229869</xdr:rowOff>
    </xdr:to>
    <xdr:pic>
      <xdr:nvPicPr>
        <xdr:cNvPr id="9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9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9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13</xdr:row>
      <xdr:rowOff>0</xdr:rowOff>
    </xdr:from>
    <xdr:to>
      <xdr:col>15</xdr:col>
      <xdr:colOff>2427</xdr:colOff>
      <xdr:row>14</xdr:row>
      <xdr:rowOff>229869</xdr:rowOff>
    </xdr:to>
    <xdr:pic>
      <xdr:nvPicPr>
        <xdr:cNvPr id="10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71563</xdr:colOff>
      <xdr:row>15</xdr:row>
      <xdr:rowOff>0</xdr:rowOff>
    </xdr:from>
    <xdr:to>
      <xdr:col>5</xdr:col>
      <xdr:colOff>1681025</xdr:colOff>
      <xdr:row>15</xdr:row>
      <xdr:rowOff>0</xdr:rowOff>
    </xdr:to>
    <xdr:pic>
      <xdr:nvPicPr>
        <xdr:cNvPr id="106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6006187" y="10080982"/>
          <a:ext cx="0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0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0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0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1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1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1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1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1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1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1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1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1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2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3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13</xdr:row>
      <xdr:rowOff>0</xdr:rowOff>
    </xdr:from>
    <xdr:ext cx="6696" cy="1332048"/>
    <xdr:pic>
      <xdr:nvPicPr>
        <xdr:cNvPr id="13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9429750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6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7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8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39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0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1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2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3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4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14</xdr:col>
      <xdr:colOff>1114238</xdr:colOff>
      <xdr:row>14</xdr:row>
      <xdr:rowOff>0</xdr:rowOff>
    </xdr:from>
    <xdr:ext cx="6696" cy="583654"/>
    <xdr:pic>
      <xdr:nvPicPr>
        <xdr:cNvPr id="145" name="Picture 9"/>
        <xdr:cNvPicPr>
          <a:picLocks noChangeAspect="1" noChangeArrowheads="1"/>
        </xdr:cNvPicPr>
      </xdr:nvPicPr>
      <xdr:blipFill>
        <a:blip r:embed="rId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10531929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5" zoomScale="70" workbookViewId="0">
      <selection activeCell="C11" activeCellId="0" sqref="C11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2.28515625"/>
    <col customWidth="1" min="13" max="13" width="6.5703125"/>
    <col customWidth="1" min="14" max="14" width="14.140625"/>
    <col customWidth="1" min="15" max="15" width="7.28515625"/>
    <col customWidth="1" min="16" max="16" width="10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319.5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6" t="s">
        <v>8</v>
      </c>
      <c r="I4" s="16" t="s">
        <v>9</v>
      </c>
      <c r="J4" s="16" t="s">
        <v>10</v>
      </c>
      <c r="K4" s="17" t="s">
        <v>11</v>
      </c>
      <c r="L4" s="18" t="s">
        <v>12</v>
      </c>
      <c r="M4" s="19" t="s">
        <v>13</v>
      </c>
      <c r="N4" s="20" t="s">
        <v>14</v>
      </c>
      <c r="O4" s="19" t="s">
        <v>15</v>
      </c>
      <c r="P4" s="21" t="s">
        <v>16</v>
      </c>
    </row>
    <row r="5" ht="15">
      <c r="A5" s="22"/>
      <c r="B5" s="23" t="s">
        <v>17</v>
      </c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7"/>
      <c r="O5" s="27"/>
      <c r="P5" s="28"/>
    </row>
    <row r="6" s="29" customFormat="1" ht="63.75" customHeight="1">
      <c r="A6" s="30"/>
      <c r="B6" s="31">
        <v>1</v>
      </c>
      <c r="C6" s="21" t="s">
        <v>18</v>
      </c>
      <c r="D6" s="20" t="s">
        <v>19</v>
      </c>
      <c r="E6" s="20">
        <v>4</v>
      </c>
      <c r="F6" s="21"/>
      <c r="G6" s="32">
        <v>7047</v>
      </c>
      <c r="H6" s="33"/>
      <c r="I6" s="33"/>
      <c r="J6" s="33"/>
      <c r="K6" s="33">
        <v>0.001</v>
      </c>
      <c r="L6" s="34"/>
      <c r="M6" s="35"/>
      <c r="N6" s="35"/>
      <c r="O6" s="35"/>
      <c r="P6" s="28">
        <f t="shared" ref="P6:P9" si="0">K6*E6</f>
        <v>0.0040000000000000001</v>
      </c>
    </row>
    <row r="7" ht="15">
      <c r="A7" s="22"/>
      <c r="B7" s="23" t="s">
        <v>20</v>
      </c>
      <c r="C7" s="24"/>
      <c r="D7" s="24"/>
      <c r="E7" s="24"/>
      <c r="F7" s="24"/>
      <c r="G7" s="24"/>
      <c r="H7" s="24"/>
      <c r="I7" s="24"/>
      <c r="J7" s="24"/>
      <c r="K7" s="25"/>
      <c r="L7" s="26"/>
      <c r="M7" s="27"/>
      <c r="N7" s="27"/>
      <c r="O7" s="35"/>
      <c r="P7" s="28"/>
    </row>
    <row r="8" s="29" customFormat="1" ht="31.5" customHeight="1">
      <c r="A8" s="22"/>
      <c r="B8" s="36">
        <v>2</v>
      </c>
      <c r="C8" s="37" t="s">
        <v>21</v>
      </c>
      <c r="D8" s="38" t="s">
        <v>22</v>
      </c>
      <c r="E8" s="35">
        <v>8</v>
      </c>
      <c r="F8" s="39"/>
      <c r="G8" s="40">
        <v>8014</v>
      </c>
      <c r="H8" s="39">
        <v>1.8999999999999999</v>
      </c>
      <c r="I8" s="39">
        <v>0.035000000000000003</v>
      </c>
      <c r="J8" s="39">
        <v>0.089999999999999997</v>
      </c>
      <c r="K8" s="41">
        <f t="shared" ref="K8:K12" si="1">H8*I8*J8</f>
        <v>0.0059849999999999999</v>
      </c>
      <c r="L8" s="42">
        <v>3</v>
      </c>
      <c r="M8" s="35">
        <f t="shared" ref="M8:M14" si="2">L8*E8</f>
        <v>24</v>
      </c>
      <c r="N8" s="39"/>
      <c r="O8" s="35">
        <f t="shared" ref="O8:O14" si="3">N8*E8</f>
        <v>0</v>
      </c>
      <c r="P8" s="28">
        <f t="shared" si="0"/>
        <v>0.047879999999999999</v>
      </c>
    </row>
    <row r="9" s="29" customFormat="1" ht="31.5" customHeight="1">
      <c r="A9" s="22"/>
      <c r="B9" s="36">
        <v>3</v>
      </c>
      <c r="C9" s="37" t="s">
        <v>21</v>
      </c>
      <c r="D9" s="38" t="s">
        <v>22</v>
      </c>
      <c r="E9" s="35">
        <v>4</v>
      </c>
      <c r="F9" s="39"/>
      <c r="G9" s="43">
        <v>6018</v>
      </c>
      <c r="H9" s="39">
        <v>1.8999999999999999</v>
      </c>
      <c r="I9" s="39">
        <v>0.035000000000000003</v>
      </c>
      <c r="J9" s="39">
        <v>0.089999999999999997</v>
      </c>
      <c r="K9" s="41">
        <f t="shared" si="1"/>
        <v>0.0059849999999999999</v>
      </c>
      <c r="L9" s="42">
        <v>3</v>
      </c>
      <c r="M9" s="35">
        <f t="shared" si="2"/>
        <v>12</v>
      </c>
      <c r="N9" s="39"/>
      <c r="O9" s="35">
        <f t="shared" si="3"/>
        <v>0</v>
      </c>
      <c r="P9" s="28">
        <f t="shared" si="0"/>
        <v>0.023939999999999999</v>
      </c>
    </row>
    <row r="10" s="29" customFormat="1" ht="31.5" customHeight="1">
      <c r="A10" s="22"/>
      <c r="B10" s="36">
        <v>4</v>
      </c>
      <c r="C10" s="37" t="s">
        <v>23</v>
      </c>
      <c r="D10" s="38" t="s">
        <v>24</v>
      </c>
      <c r="E10" s="35">
        <v>4</v>
      </c>
      <c r="F10" s="39"/>
      <c r="G10" s="40">
        <v>8014</v>
      </c>
      <c r="H10" s="39">
        <v>0.27000000000000002</v>
      </c>
      <c r="I10" s="39">
        <v>0.035000000000000003</v>
      </c>
      <c r="J10" s="39">
        <v>0.089999999999999997</v>
      </c>
      <c r="K10" s="41">
        <f>H10*I10*J10</f>
        <v>0.00085050000000000013</v>
      </c>
      <c r="L10" s="42"/>
      <c r="M10" s="35">
        <f t="shared" si="2"/>
        <v>0</v>
      </c>
      <c r="N10" s="39"/>
      <c r="O10" s="35">
        <f t="shared" si="3"/>
        <v>0</v>
      </c>
      <c r="P10" s="28">
        <f t="shared" ref="P10:P15" si="4">K10*E10</f>
        <v>0.0034020000000000005</v>
      </c>
    </row>
    <row r="11" s="29" customFormat="1" ht="123.75" customHeight="1">
      <c r="A11" s="22"/>
      <c r="B11" s="36">
        <v>5</v>
      </c>
      <c r="C11" s="37" t="s">
        <v>25</v>
      </c>
      <c r="D11" s="38" t="s">
        <v>26</v>
      </c>
      <c r="E11" s="35">
        <v>4</v>
      </c>
      <c r="F11" s="39"/>
      <c r="G11" s="44">
        <v>2008</v>
      </c>
      <c r="H11" s="39">
        <v>0.79000000000000004</v>
      </c>
      <c r="I11" s="39">
        <v>0.79000000000000004</v>
      </c>
      <c r="J11" s="39">
        <v>0.021000000000000001</v>
      </c>
      <c r="K11" s="41">
        <f t="shared" si="1"/>
        <v>0.013106100000000002</v>
      </c>
      <c r="L11" s="42"/>
      <c r="M11" s="35">
        <f t="shared" si="2"/>
        <v>0</v>
      </c>
      <c r="N11" s="39"/>
      <c r="O11" s="35">
        <f t="shared" si="3"/>
        <v>0</v>
      </c>
      <c r="P11" s="28">
        <f t="shared" si="4"/>
        <v>0.05242440000000001</v>
      </c>
    </row>
    <row r="12" s="29" customFormat="1" ht="86.25" customHeight="1">
      <c r="A12" s="45"/>
      <c r="B12" s="36">
        <v>6</v>
      </c>
      <c r="C12" s="46" t="s">
        <v>27</v>
      </c>
      <c r="D12" s="46" t="s">
        <v>28</v>
      </c>
      <c r="E12" s="47">
        <v>8</v>
      </c>
      <c r="F12" s="48"/>
      <c r="G12" s="32">
        <v>7047</v>
      </c>
      <c r="H12" s="39">
        <v>0.062</v>
      </c>
      <c r="I12" s="39">
        <v>0.062</v>
      </c>
      <c r="J12" s="39">
        <v>0.040000000000000001</v>
      </c>
      <c r="K12" s="49">
        <f t="shared" si="1"/>
        <v>0.00015375999999999999</v>
      </c>
      <c r="L12" s="42">
        <v>2</v>
      </c>
      <c r="M12" s="35">
        <f t="shared" si="2"/>
        <v>16</v>
      </c>
      <c r="N12" s="39"/>
      <c r="O12" s="35">
        <f t="shared" si="3"/>
        <v>0</v>
      </c>
      <c r="P12" s="28">
        <f t="shared" si="4"/>
        <v>0.0012300799999999999</v>
      </c>
    </row>
    <row r="13" s="29" customFormat="1" ht="27.75" customHeight="1">
      <c r="A13" s="45"/>
      <c r="B13" s="50" t="s">
        <v>29</v>
      </c>
      <c r="C13" s="51"/>
      <c r="D13" s="51"/>
      <c r="E13" s="51"/>
      <c r="F13" s="51"/>
      <c r="G13" s="51"/>
      <c r="H13" s="51"/>
      <c r="I13" s="51"/>
      <c r="J13" s="51"/>
      <c r="K13" s="52"/>
      <c r="L13" s="34"/>
      <c r="M13" s="35">
        <f t="shared" si="2"/>
        <v>0</v>
      </c>
      <c r="N13" s="35"/>
      <c r="O13" s="35">
        <f t="shared" si="3"/>
        <v>0</v>
      </c>
      <c r="P13" s="28">
        <f t="shared" si="4"/>
        <v>0</v>
      </c>
    </row>
    <row r="14" ht="58.5" customHeight="1">
      <c r="A14" s="53"/>
      <c r="B14" s="54">
        <v>7</v>
      </c>
      <c r="C14" s="55" t="s">
        <v>30</v>
      </c>
      <c r="D14" s="55" t="s">
        <v>31</v>
      </c>
      <c r="E14" s="56">
        <v>52</v>
      </c>
      <c r="F14" s="57"/>
      <c r="G14" s="58" t="s">
        <v>32</v>
      </c>
      <c r="H14" s="58">
        <v>0.035999999999999997</v>
      </c>
      <c r="I14" s="58">
        <v>0.035999999999999997</v>
      </c>
      <c r="J14" s="58">
        <v>0.023</v>
      </c>
      <c r="K14" s="59">
        <f>H14*I14*J14</f>
        <v>2.9807999999999996e-05</v>
      </c>
      <c r="L14" s="26"/>
      <c r="M14" s="35">
        <f t="shared" si="2"/>
        <v>0</v>
      </c>
      <c r="N14" s="27"/>
      <c r="O14" s="35">
        <f t="shared" si="3"/>
        <v>0</v>
      </c>
      <c r="P14" s="28">
        <f t="shared" si="4"/>
        <v>0.0015500159999999998</v>
      </c>
    </row>
    <row r="15" s="29" customFormat="1" ht="27.75" customHeight="1">
      <c r="A15" s="45"/>
      <c r="B15" s="50" t="s">
        <v>33</v>
      </c>
      <c r="C15" s="51"/>
      <c r="D15" s="51"/>
      <c r="E15" s="51"/>
      <c r="F15" s="51"/>
      <c r="G15" s="51"/>
      <c r="H15" s="51"/>
      <c r="I15" s="51"/>
      <c r="J15" s="51"/>
      <c r="K15" s="52"/>
      <c r="L15" s="34"/>
      <c r="M15" s="35">
        <f>L15*E15</f>
        <v>0</v>
      </c>
      <c r="N15" s="35"/>
      <c r="O15" s="35">
        <f>N15*E15</f>
        <v>0</v>
      </c>
      <c r="P15" s="28">
        <f t="shared" si="4"/>
        <v>0</v>
      </c>
    </row>
    <row r="16" ht="33">
      <c r="C16" s="60" t="s">
        <v>34</v>
      </c>
      <c r="D16" s="61" t="s">
        <v>35</v>
      </c>
      <c r="E16" s="62">
        <v>8</v>
      </c>
    </row>
    <row r="17" ht="33">
      <c r="C17" s="63" t="s">
        <v>36</v>
      </c>
      <c r="D17" s="63" t="s">
        <v>37</v>
      </c>
      <c r="E17" s="62">
        <v>32</v>
      </c>
    </row>
    <row r="18" ht="33">
      <c r="C18" s="63" t="s">
        <v>38</v>
      </c>
      <c r="D18" s="63" t="s">
        <v>39</v>
      </c>
      <c r="E18" s="62">
        <v>12</v>
      </c>
    </row>
    <row r="19" ht="33">
      <c r="C19" s="63" t="s">
        <v>40</v>
      </c>
      <c r="D19" s="63" t="s">
        <v>41</v>
      </c>
      <c r="E19" s="62">
        <v>12</v>
      </c>
    </row>
    <row r="20" ht="33">
      <c r="C20" s="63" t="s">
        <v>42</v>
      </c>
      <c r="D20" s="63" t="s">
        <v>43</v>
      </c>
      <c r="E20" s="62">
        <v>40</v>
      </c>
    </row>
    <row r="21" ht="16.5">
      <c r="C21" s="63" t="s">
        <v>44</v>
      </c>
      <c r="D21" s="63" t="s">
        <v>45</v>
      </c>
      <c r="E21" s="62">
        <v>52</v>
      </c>
    </row>
  </sheetData>
  <mergeCells count="7">
    <mergeCell ref="A1:K1"/>
    <mergeCell ref="B2:K2"/>
    <mergeCell ref="B3:K3"/>
    <mergeCell ref="B5:K5"/>
    <mergeCell ref="B7:K7"/>
    <mergeCell ref="B13:K13"/>
    <mergeCell ref="B15:K1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2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2024-11-26T13:32:02Z</dcterms:modified>
</cp:coreProperties>
</file>