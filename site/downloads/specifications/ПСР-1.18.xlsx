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lidworks\ПСР-1.18\"/>
    </mc:Choice>
  </mc:AlternateContent>
  <xr:revisionPtr revIDLastSave="0" documentId="13_ncr:1_{E7649983-493C-412A-BD6E-F558ED5F4C46}" xr6:coauthVersionLast="47" xr6:coauthVersionMax="47" xr10:uidLastSave="{00000000-0000-0000-0000-000000000000}"/>
  <bookViews>
    <workbookView xWindow="3510" yWindow="3510" windowWidth="21960" windowHeight="1767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</workbook>
</file>

<file path=xl/calcChain.xml><?xml version="1.0" encoding="utf-8"?>
<calcChain xmlns="http://schemas.openxmlformats.org/spreadsheetml/2006/main">
  <c r="K19" i="1" l="1"/>
  <c r="P19" i="1" s="1"/>
  <c r="P10" i="1" l="1"/>
  <c r="P26" i="1"/>
  <c r="P27" i="1"/>
  <c r="P28" i="1"/>
  <c r="P29" i="1"/>
  <c r="P30" i="1"/>
  <c r="O12" i="1"/>
  <c r="O13" i="1"/>
  <c r="O14" i="1"/>
  <c r="O15" i="1"/>
  <c r="O16" i="1"/>
  <c r="O17" i="1"/>
  <c r="O18" i="1"/>
  <c r="O20" i="1"/>
  <c r="O21" i="1"/>
  <c r="O22" i="1"/>
  <c r="O23" i="1"/>
  <c r="O24" i="1"/>
  <c r="O25" i="1"/>
  <c r="O26" i="1"/>
  <c r="K25" i="1"/>
  <c r="P25" i="1" s="1"/>
  <c r="K24" i="1"/>
  <c r="P24" i="1" s="1"/>
  <c r="K18" i="1"/>
  <c r="P18" i="1" s="1"/>
  <c r="M22" i="1"/>
  <c r="K22" i="1"/>
  <c r="P22" i="1" s="1"/>
  <c r="M15" i="1"/>
  <c r="K16" i="1"/>
  <c r="P16" i="1" s="1"/>
  <c r="K15" i="1"/>
  <c r="P15" i="1" s="1"/>
  <c r="M14" i="1"/>
  <c r="K14" i="1"/>
  <c r="P14" i="1" s="1"/>
  <c r="M13" i="1"/>
  <c r="K13" i="1"/>
  <c r="P13" i="1" s="1"/>
  <c r="K8" i="1"/>
  <c r="P8" i="1" s="1"/>
  <c r="K7" i="1"/>
  <c r="P7" i="1" s="1"/>
  <c r="K6" i="1"/>
  <c r="O10" i="1" l="1"/>
  <c r="O11" i="1"/>
  <c r="O27" i="1"/>
  <c r="O28" i="1"/>
  <c r="O29" i="1"/>
  <c r="O30" i="1"/>
  <c r="M10" i="1"/>
  <c r="M11" i="1"/>
  <c r="M12" i="1"/>
  <c r="M17" i="1"/>
  <c r="M20" i="1"/>
  <c r="M21" i="1"/>
  <c r="M23" i="1"/>
  <c r="M26" i="1"/>
  <c r="M27" i="1"/>
  <c r="M28" i="1"/>
  <c r="M29" i="1"/>
  <c r="M30" i="1"/>
  <c r="K23" i="1" l="1"/>
  <c r="P23" i="1" s="1"/>
  <c r="K21" i="1"/>
  <c r="P21" i="1" s="1"/>
  <c r="K20" i="1"/>
  <c r="P20" i="1" s="1"/>
  <c r="K17" i="1"/>
  <c r="P17" i="1" s="1"/>
  <c r="K12" i="1" l="1"/>
  <c r="P12" i="1" s="1"/>
  <c r="K11" i="1"/>
  <c r="P11" i="1" s="1"/>
  <c r="P6" i="1" l="1"/>
  <c r="P31" i="1" s="1"/>
  <c r="K9" i="1"/>
  <c r="P9" i="1" s="1"/>
  <c r="O9" i="1"/>
  <c r="O31" i="1" s="1"/>
  <c r="M9" i="1"/>
  <c r="M31" i="1" s="1"/>
</calcChain>
</file>

<file path=xl/sharedStrings.xml><?xml version="1.0" encoding="utf-8"?>
<sst xmlns="http://schemas.openxmlformats.org/spreadsheetml/2006/main" count="70" uniqueCount="66">
  <si>
    <t>№ п/п</t>
  </si>
  <si>
    <t>Наименование</t>
  </si>
  <si>
    <t>Артикул</t>
  </si>
  <si>
    <t>Изображение</t>
  </si>
  <si>
    <t>цвет</t>
  </si>
  <si>
    <t>Длина, м</t>
  </si>
  <si>
    <t>Ширина, м</t>
  </si>
  <si>
    <t>Высота, м</t>
  </si>
  <si>
    <t>Объем, м3</t>
  </si>
  <si>
    <t>Кол-во</t>
  </si>
  <si>
    <t>СТОЛБЫ</t>
  </si>
  <si>
    <t>Уголок крепления фанеры</t>
  </si>
  <si>
    <t>ПАНЕЛИ</t>
  </si>
  <si>
    <t>Заглушка м8-10 (крепеж к столбу) (на 1 комплектующую)</t>
  </si>
  <si>
    <t>всего м8-10</t>
  </si>
  <si>
    <t>Заглушка м6 (крепеж фанеры между собой)</t>
  </si>
  <si>
    <t>всего м6</t>
  </si>
  <si>
    <t>Объем всего</t>
  </si>
  <si>
    <t>ЭЛЕМЕНТЫ ДОМИКОВ  1.08</t>
  </si>
  <si>
    <t>Размер 3,00 х 1,60 х 1,60 м</t>
  </si>
  <si>
    <t>ЗАГЛУШКИ</t>
  </si>
  <si>
    <t>ПСР-1.18</t>
  </si>
  <si>
    <t>Столб (брус 100х100)  350 мм</t>
  </si>
  <si>
    <t>Столб (брус 100х100)  750 мм</t>
  </si>
  <si>
    <t>Столб (брус 100х100)  1500 мм</t>
  </si>
  <si>
    <t>Заглушка К4М8КС</t>
  </si>
  <si>
    <t>Заглушка 100-100.11КК</t>
  </si>
  <si>
    <t>0080ДБ</t>
  </si>
  <si>
    <t>0041ДБ</t>
  </si>
  <si>
    <t>0008ДБ</t>
  </si>
  <si>
    <t>Закладная для столба 100х100</t>
  </si>
  <si>
    <t>Накладка Панели Люк 800
480 x 275 x 15</t>
  </si>
  <si>
    <t>001182</t>
  </si>
  <si>
    <t>001183</t>
  </si>
  <si>
    <t>000912</t>
  </si>
  <si>
    <t>001184</t>
  </si>
  <si>
    <t>000107</t>
  </si>
  <si>
    <t>000108</t>
  </si>
  <si>
    <t>000226</t>
  </si>
  <si>
    <t>000227</t>
  </si>
  <si>
    <t>000228</t>
  </si>
  <si>
    <t>000229</t>
  </si>
  <si>
    <t xml:space="preserve">Якорь 6.10
357 x 407 x 15 </t>
  </si>
  <si>
    <t xml:space="preserve">Накл. на нижн.парус спас.круг 6.10
349 x 175 x 15 </t>
  </si>
  <si>
    <t>000224</t>
  </si>
  <si>
    <t>000915</t>
  </si>
  <si>
    <t>000378</t>
  </si>
  <si>
    <t>Скат крыши Паровоза 6.01
1000 x 500 x 15</t>
  </si>
  <si>
    <t>000373</t>
  </si>
  <si>
    <t>0003МП</t>
  </si>
  <si>
    <t>Заглушка К4М6КС</t>
  </si>
  <si>
    <t>КЧМ6КС</t>
  </si>
  <si>
    <t>КЧМ8КС</t>
  </si>
  <si>
    <t>100-100.11КК</t>
  </si>
  <si>
    <t>черный</t>
  </si>
  <si>
    <t>0013МП</t>
  </si>
  <si>
    <t>Корма песочницы ПСР-1.18
1167 x 700 x 15</t>
  </si>
  <si>
    <t>Борт 850 песочницы -1.18
850 x 300 x 15</t>
  </si>
  <si>
    <t>Борт песочницы корабль нижний 6.08
1200 x 300 x 15</t>
  </si>
  <si>
    <t>Борт 2000 песочницы -1.18
2000 x 300 x 15</t>
  </si>
  <si>
    <t>Панель Люк 800
800 x 700 x 15</t>
  </si>
  <si>
    <t>Панель с 2 пазами для сидушки 6.10
800 x 700 x 15</t>
  </si>
  <si>
    <t>Сидушка для панели с 2 пазами 6.10
600 x 271 x 15</t>
  </si>
  <si>
    <t xml:space="preserve">Подпорка сидушки с 2 пазами 6.10
255 x 255 x 15 </t>
  </si>
  <si>
    <t xml:space="preserve">Столик песочницы 6.08
500 x 500 x 15 </t>
  </si>
  <si>
    <t xml:space="preserve">Фронтон крыши Паровоза 6.01
893 x 400 x 15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</si>
</sst>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₽_-;\-* #,##0.00\ _₽_-;_-* &quot;-&quot;??\ _₽_-;_-@_-"/>
    <numFmt numFmtId="165" formatCode="0.000"/>
    <numFmt numFmtId="166" formatCode="0.0000"/>
  </numFmts>
  <fonts count="18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Arial"/>
      <family val="2"/>
      <charset val="204"/>
    </font>
    <font>
      <b/>
      <i/>
      <sz val="11"/>
      <color theme="1"/>
      <name val="Arial"/>
      <family val="2"/>
      <charset val="204"/>
    </font>
    <font>
      <i/>
      <sz val="12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6"/>
      <color theme="1"/>
      <name val="Arial"/>
      <family val="2"/>
      <charset val="204"/>
    </font>
    <font>
      <b/>
      <i/>
      <sz val="12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i/>
      <sz val="12"/>
      <color theme="1"/>
      <name val="Calibri"/>
      <family val="2"/>
      <charset val="204"/>
      <scheme val="minor"/>
    </font>
    <font>
      <sz val="11"/>
      <color theme="0"/>
      <name val="Arial"/>
      <family val="2"/>
      <charset val="204"/>
    </font>
    <font>
      <sz val="11"/>
      <color theme="1"/>
      <name val="Cambria"/>
      <family val="2"/>
      <charset val="204"/>
      <scheme val="major"/>
    </font>
    <font>
      <sz val="8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33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9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 wrapText="1" indent="1"/>
    </xf>
    <xf numFmtId="0" fontId="5" fillId="0" borderId="1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3" fillId="0" borderId="18" xfId="0" applyFont="1" applyBorder="1"/>
    <xf numFmtId="0" fontId="5" fillId="0" borderId="1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 indent="1"/>
    </xf>
    <xf numFmtId="0" fontId="5" fillId="2" borderId="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66" fontId="0" fillId="0" borderId="0" xfId="1" applyNumberFormat="1" applyFont="1" applyAlignment="1"/>
    <xf numFmtId="0" fontId="3" fillId="0" borderId="2" xfId="0" applyFont="1" applyBorder="1"/>
    <xf numFmtId="166" fontId="5" fillId="0" borderId="14" xfId="1" applyNumberFormat="1" applyFont="1" applyBorder="1" applyAlignment="1">
      <alignment vertical="center" wrapText="1"/>
    </xf>
    <xf numFmtId="0" fontId="3" fillId="0" borderId="20" xfId="0" applyFont="1" applyBorder="1"/>
    <xf numFmtId="166" fontId="5" fillId="0" borderId="7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textRotation="90" wrapText="1"/>
    </xf>
    <xf numFmtId="166" fontId="5" fillId="0" borderId="9" xfId="1" applyNumberFormat="1" applyFont="1" applyBorder="1" applyAlignment="1">
      <alignment vertical="center" wrapText="1"/>
    </xf>
    <xf numFmtId="0" fontId="3" fillId="0" borderId="21" xfId="0" applyFont="1" applyBorder="1"/>
    <xf numFmtId="166" fontId="5" fillId="0" borderId="11" xfId="0" applyNumberFormat="1" applyFont="1" applyBorder="1" applyAlignment="1">
      <alignment horizontal="center" vertical="center" wrapText="1"/>
    </xf>
    <xf numFmtId="0" fontId="3" fillId="0" borderId="15" xfId="0" applyFont="1" applyBorder="1"/>
    <xf numFmtId="0" fontId="3" fillId="0" borderId="21" xfId="0" applyFont="1" applyBorder="1" applyAlignment="1">
      <alignment horizontal="center" vertical="center"/>
    </xf>
    <xf numFmtId="166" fontId="5" fillId="0" borderId="7" xfId="1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0" fillId="0" borderId="21" xfId="0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11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0" fillId="0" borderId="2" xfId="0" applyBorder="1"/>
    <xf numFmtId="0" fontId="1" fillId="0" borderId="2" xfId="0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165" fontId="13" fillId="0" borderId="11" xfId="0" applyNumberFormat="1" applyFont="1" applyBorder="1" applyAlignment="1">
      <alignment horizontal="center" vertical="center" wrapText="1"/>
    </xf>
    <xf numFmtId="165" fontId="13" fillId="0" borderId="7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5" fillId="0" borderId="5" xfId="0" applyFont="1" applyBorder="1"/>
    <xf numFmtId="0" fontId="5" fillId="0" borderId="0" xfId="0" applyFont="1" applyAlignment="1">
      <alignment horizontal="left" indent="1"/>
    </xf>
    <xf numFmtId="49" fontId="1" fillId="0" borderId="4" xfId="0" applyNumberFormat="1" applyFont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/>
    </xf>
    <xf numFmtId="0" fontId="15" fillId="8" borderId="25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left" vertical="center" wrapText="1" indent="1"/>
    </xf>
    <xf numFmtId="0" fontId="16" fillId="0" borderId="2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 textRotation="90" wrapText="1"/>
    </xf>
    <xf numFmtId="0" fontId="7" fillId="5" borderId="10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/>
    </xf>
    <xf numFmtId="0" fontId="10" fillId="4" borderId="2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emf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71563</xdr:colOff>
      <xdr:row>27</xdr:row>
      <xdr:rowOff>0</xdr:rowOff>
    </xdr:from>
    <xdr:to>
      <xdr:col>5</xdr:col>
      <xdr:colOff>1681025</xdr:colOff>
      <xdr:row>27</xdr:row>
      <xdr:rowOff>0</xdr:rowOff>
    </xdr:to>
    <xdr:pic>
      <xdr:nvPicPr>
        <xdr:cNvPr id="7" name="Picture 1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 rot="16200000">
          <a:off x="5777991" y="20582020"/>
          <a:ext cx="483605" cy="16094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571500</xdr:colOff>
      <xdr:row>27</xdr:row>
      <xdr:rowOff>89647</xdr:rowOff>
    </xdr:from>
    <xdr:to>
      <xdr:col>5</xdr:col>
      <xdr:colOff>1171163</xdr:colOff>
      <xdr:row>27</xdr:row>
      <xdr:rowOff>694764</xdr:rowOff>
    </xdr:to>
    <xdr:pic>
      <xdr:nvPicPr>
        <xdr:cNvPr id="36" name="Picture 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5715000" y="39713647"/>
          <a:ext cx="599663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481854</xdr:colOff>
      <xdr:row>28</xdr:row>
      <xdr:rowOff>45945</xdr:rowOff>
    </xdr:from>
    <xdr:to>
      <xdr:col>5</xdr:col>
      <xdr:colOff>1314720</xdr:colOff>
      <xdr:row>28</xdr:row>
      <xdr:rowOff>850933</xdr:rowOff>
    </xdr:to>
    <xdr:pic>
      <xdr:nvPicPr>
        <xdr:cNvPr id="38" name="Picture 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5625354" y="40409533"/>
          <a:ext cx="832866" cy="8129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146536</xdr:colOff>
      <xdr:row>10</xdr:row>
      <xdr:rowOff>192793</xdr:rowOff>
    </xdr:from>
    <xdr:to>
      <xdr:col>5</xdr:col>
      <xdr:colOff>1571681</xdr:colOff>
      <xdr:row>10</xdr:row>
      <xdr:rowOff>1034143</xdr:rowOff>
    </xdr:to>
    <xdr:pic>
      <xdr:nvPicPr>
        <xdr:cNvPr id="21" name="Picture 9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 bwMode="auto">
        <a:xfrm>
          <a:off x="5276429" y="8778900"/>
          <a:ext cx="1425145" cy="841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293477</xdr:colOff>
      <xdr:row>11</xdr:row>
      <xdr:rowOff>143223</xdr:rowOff>
    </xdr:from>
    <xdr:to>
      <xdr:col>5</xdr:col>
      <xdr:colOff>1523998</xdr:colOff>
      <xdr:row>11</xdr:row>
      <xdr:rowOff>633389</xdr:rowOff>
    </xdr:to>
    <xdr:pic>
      <xdr:nvPicPr>
        <xdr:cNvPr id="22" name="Picture 9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 bwMode="auto">
        <a:xfrm>
          <a:off x="5423370" y="9926759"/>
          <a:ext cx="1230521" cy="4901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595798</xdr:colOff>
      <xdr:row>19</xdr:row>
      <xdr:rowOff>84364</xdr:rowOff>
    </xdr:from>
    <xdr:to>
      <xdr:col>5</xdr:col>
      <xdr:colOff>1196168</xdr:colOff>
      <xdr:row>19</xdr:row>
      <xdr:rowOff>769693</xdr:rowOff>
    </xdr:to>
    <xdr:pic>
      <xdr:nvPicPr>
        <xdr:cNvPr id="27" name="Picture 9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 bwMode="auto">
        <a:xfrm>
          <a:off x="5725691" y="14970578"/>
          <a:ext cx="600370" cy="68532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417739</xdr:colOff>
      <xdr:row>20</xdr:row>
      <xdr:rowOff>113717</xdr:rowOff>
    </xdr:from>
    <xdr:to>
      <xdr:col>5</xdr:col>
      <xdr:colOff>1401535</xdr:colOff>
      <xdr:row>20</xdr:row>
      <xdr:rowOff>669378</xdr:rowOff>
    </xdr:to>
    <xdr:pic>
      <xdr:nvPicPr>
        <xdr:cNvPr id="28" name="Picture 9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 bwMode="auto">
        <a:xfrm>
          <a:off x="5547632" y="15911610"/>
          <a:ext cx="983796" cy="55566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506672</xdr:colOff>
      <xdr:row>22</xdr:row>
      <xdr:rowOff>114198</xdr:rowOff>
    </xdr:from>
    <xdr:to>
      <xdr:col>5</xdr:col>
      <xdr:colOff>1360714</xdr:colOff>
      <xdr:row>22</xdr:row>
      <xdr:rowOff>918328</xdr:rowOff>
    </xdr:to>
    <xdr:pic>
      <xdr:nvPicPr>
        <xdr:cNvPr id="31" name="Picture 9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 bwMode="auto">
        <a:xfrm>
          <a:off x="5636565" y="17708234"/>
          <a:ext cx="854042" cy="8041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481854</xdr:colOff>
      <xdr:row>28</xdr:row>
      <xdr:rowOff>45945</xdr:rowOff>
    </xdr:from>
    <xdr:to>
      <xdr:col>5</xdr:col>
      <xdr:colOff>1314720</xdr:colOff>
      <xdr:row>28</xdr:row>
      <xdr:rowOff>850934</xdr:rowOff>
    </xdr:to>
    <xdr:pic>
      <xdr:nvPicPr>
        <xdr:cNvPr id="43" name="Picture 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5615829" y="25982520"/>
          <a:ext cx="832866" cy="8090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504266</xdr:colOff>
      <xdr:row>29</xdr:row>
      <xdr:rowOff>79562</xdr:rowOff>
    </xdr:from>
    <xdr:to>
      <xdr:col>5</xdr:col>
      <xdr:colOff>1332940</xdr:colOff>
      <xdr:row>29</xdr:row>
      <xdr:rowOff>774887</xdr:rowOff>
    </xdr:to>
    <xdr:pic>
      <xdr:nvPicPr>
        <xdr:cNvPr id="44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grayscl/>
        </a:blip>
        <a:srcRect t="8989" b="8989"/>
        <a:stretch>
          <a:fillRect/>
        </a:stretch>
      </xdr:blipFill>
      <xdr:spPr bwMode="auto">
        <a:xfrm>
          <a:off x="5638241" y="26863862"/>
          <a:ext cx="828674" cy="6953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481854</xdr:colOff>
      <xdr:row>28</xdr:row>
      <xdr:rowOff>45945</xdr:rowOff>
    </xdr:from>
    <xdr:to>
      <xdr:col>5</xdr:col>
      <xdr:colOff>1314720</xdr:colOff>
      <xdr:row>28</xdr:row>
      <xdr:rowOff>850926</xdr:rowOff>
    </xdr:to>
    <xdr:pic>
      <xdr:nvPicPr>
        <xdr:cNvPr id="45" name="Picture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5615829" y="25982520"/>
          <a:ext cx="832866" cy="80906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54428</xdr:colOff>
      <xdr:row>2</xdr:row>
      <xdr:rowOff>2816678</xdr:rowOff>
    </xdr:from>
    <xdr:to>
      <xdr:col>10</xdr:col>
      <xdr:colOff>762000</xdr:colOff>
      <xdr:row>2</xdr:row>
      <xdr:rowOff>5048250</xdr:rowOff>
    </xdr:to>
    <xdr:pic>
      <xdr:nvPicPr>
        <xdr:cNvPr id="117" name="Рисунок 116" descr="2-11_вид 2.jpg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rcRect l="4188" t="5046" r="9059" b="16315"/>
        <a:stretch>
          <a:fillRect/>
        </a:stretch>
      </xdr:blipFill>
      <xdr:spPr>
        <a:xfrm>
          <a:off x="6966857" y="3333749"/>
          <a:ext cx="3796393" cy="223157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1687286</xdr:colOff>
      <xdr:row>2</xdr:row>
      <xdr:rowOff>1671792</xdr:rowOff>
    </xdr:from>
    <xdr:to>
      <xdr:col>6</xdr:col>
      <xdr:colOff>94463</xdr:colOff>
      <xdr:row>2</xdr:row>
      <xdr:rowOff>5102679</xdr:rowOff>
    </xdr:to>
    <xdr:pic>
      <xdr:nvPicPr>
        <xdr:cNvPr id="118" name="Рисунок 117" descr="2-11_вид 2.jpg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3292929" y="2188863"/>
          <a:ext cx="3713963" cy="3430887"/>
        </a:xfrm>
        <a:prstGeom prst="rect">
          <a:avLst/>
        </a:prstGeom>
      </xdr:spPr>
    </xdr:pic>
    <xdr:clientData/>
  </xdr:twoCellAnchor>
  <xdr:twoCellAnchor editAs="oneCell">
    <xdr:from>
      <xdr:col>1</xdr:col>
      <xdr:colOff>68035</xdr:colOff>
      <xdr:row>2</xdr:row>
      <xdr:rowOff>54427</xdr:rowOff>
    </xdr:from>
    <xdr:to>
      <xdr:col>3</xdr:col>
      <xdr:colOff>2598964</xdr:colOff>
      <xdr:row>2</xdr:row>
      <xdr:rowOff>3394652</xdr:rowOff>
    </xdr:to>
    <xdr:pic>
      <xdr:nvPicPr>
        <xdr:cNvPr id="119" name="Рисунок 118" descr="2-11_вид 2.jpg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rcRect l="3499" t="7276" r="3673" b="6961"/>
        <a:stretch>
          <a:fillRect/>
        </a:stretch>
      </xdr:blipFill>
      <xdr:spPr>
        <a:xfrm>
          <a:off x="68035" y="571498"/>
          <a:ext cx="4136572" cy="3340225"/>
        </a:xfrm>
        <a:prstGeom prst="rect">
          <a:avLst/>
        </a:prstGeom>
      </xdr:spPr>
    </xdr:pic>
    <xdr:clientData/>
  </xdr:twoCellAnchor>
  <xdr:twoCellAnchor>
    <xdr:from>
      <xdr:col>5</xdr:col>
      <xdr:colOff>175669</xdr:colOff>
      <xdr:row>12</xdr:row>
      <xdr:rowOff>176893</xdr:rowOff>
    </xdr:from>
    <xdr:to>
      <xdr:col>5</xdr:col>
      <xdr:colOff>1592035</xdr:colOff>
      <xdr:row>12</xdr:row>
      <xdr:rowOff>598789</xdr:rowOff>
    </xdr:to>
    <xdr:pic>
      <xdr:nvPicPr>
        <xdr:cNvPr id="37" name="Picture 9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 bwMode="auto">
        <a:xfrm>
          <a:off x="5305562" y="10763250"/>
          <a:ext cx="1416366" cy="42189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80420</xdr:colOff>
      <xdr:row>13</xdr:row>
      <xdr:rowOff>231321</xdr:rowOff>
    </xdr:from>
    <xdr:to>
      <xdr:col>5</xdr:col>
      <xdr:colOff>1700893</xdr:colOff>
      <xdr:row>13</xdr:row>
      <xdr:rowOff>517286</xdr:rowOff>
    </xdr:to>
    <xdr:pic>
      <xdr:nvPicPr>
        <xdr:cNvPr id="47" name="Picture 9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 bwMode="auto">
        <a:xfrm>
          <a:off x="5210313" y="11620500"/>
          <a:ext cx="1620473" cy="2859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499548</xdr:colOff>
      <xdr:row>14</xdr:row>
      <xdr:rowOff>102031</xdr:rowOff>
    </xdr:from>
    <xdr:to>
      <xdr:col>5</xdr:col>
      <xdr:colOff>1347108</xdr:colOff>
      <xdr:row>14</xdr:row>
      <xdr:rowOff>839841</xdr:rowOff>
    </xdr:to>
    <xdr:pic>
      <xdr:nvPicPr>
        <xdr:cNvPr id="48" name="Picture 9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 bwMode="auto">
        <a:xfrm>
          <a:off x="5629441" y="12294031"/>
          <a:ext cx="847560" cy="7378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507147</xdr:colOff>
      <xdr:row>15</xdr:row>
      <xdr:rowOff>167367</xdr:rowOff>
    </xdr:from>
    <xdr:to>
      <xdr:col>5</xdr:col>
      <xdr:colOff>1334861</xdr:colOff>
      <xdr:row>15</xdr:row>
      <xdr:rowOff>677214</xdr:rowOff>
    </xdr:to>
    <xdr:pic>
      <xdr:nvPicPr>
        <xdr:cNvPr id="49" name="Picture 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 bwMode="auto">
        <a:xfrm>
          <a:off x="5637040" y="13311867"/>
          <a:ext cx="827714" cy="50984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417739</xdr:colOff>
      <xdr:row>21</xdr:row>
      <xdr:rowOff>113717</xdr:rowOff>
    </xdr:from>
    <xdr:to>
      <xdr:col>5</xdr:col>
      <xdr:colOff>1401535</xdr:colOff>
      <xdr:row>21</xdr:row>
      <xdr:rowOff>669378</xdr:rowOff>
    </xdr:to>
    <xdr:pic>
      <xdr:nvPicPr>
        <xdr:cNvPr id="50" name="Picture 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 bwMode="auto">
        <a:xfrm>
          <a:off x="5547632" y="15911610"/>
          <a:ext cx="983796" cy="55566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409691</xdr:colOff>
      <xdr:row>23</xdr:row>
      <xdr:rowOff>113406</xdr:rowOff>
    </xdr:from>
    <xdr:to>
      <xdr:col>5</xdr:col>
      <xdr:colOff>1516089</xdr:colOff>
      <xdr:row>23</xdr:row>
      <xdr:rowOff>629725</xdr:rowOff>
    </xdr:to>
    <xdr:pic>
      <xdr:nvPicPr>
        <xdr:cNvPr id="52" name="Picture 9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 bwMode="auto">
        <a:xfrm>
          <a:off x="5334116" y="103850181"/>
          <a:ext cx="1106398" cy="5163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675012</xdr:colOff>
      <xdr:row>24</xdr:row>
      <xdr:rowOff>99283</xdr:rowOff>
    </xdr:from>
    <xdr:to>
      <xdr:col>5</xdr:col>
      <xdr:colOff>1170213</xdr:colOff>
      <xdr:row>24</xdr:row>
      <xdr:rowOff>1024332</xdr:rowOff>
    </xdr:to>
    <xdr:pic>
      <xdr:nvPicPr>
        <xdr:cNvPr id="53" name="Picture 9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 bwMode="auto">
        <a:xfrm>
          <a:off x="5599437" y="104559958"/>
          <a:ext cx="495201" cy="92504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517072</xdr:colOff>
      <xdr:row>18</xdr:row>
      <xdr:rowOff>68035</xdr:rowOff>
    </xdr:from>
    <xdr:to>
      <xdr:col>5</xdr:col>
      <xdr:colOff>1279072</xdr:colOff>
      <xdr:row>19</xdr:row>
      <xdr:rowOff>16942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5646965" y="16940892"/>
          <a:ext cx="762000" cy="765336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476250</xdr:colOff>
      <xdr:row>16</xdr:row>
      <xdr:rowOff>68035</xdr:rowOff>
    </xdr:from>
    <xdr:to>
      <xdr:col>5</xdr:col>
      <xdr:colOff>1347106</xdr:colOff>
      <xdr:row>16</xdr:row>
      <xdr:rowOff>900384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5829C7E-D453-FDF5-28CD-8C6143D43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6143" y="14477999"/>
          <a:ext cx="870856" cy="832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367392</xdr:colOff>
      <xdr:row>17</xdr:row>
      <xdr:rowOff>163287</xdr:rowOff>
    </xdr:from>
    <xdr:to>
      <xdr:col>5</xdr:col>
      <xdr:colOff>1379763</xdr:colOff>
      <xdr:row>17</xdr:row>
      <xdr:rowOff>718458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C3BF2EB5-BFAE-6433-B9D5-37FD62F56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7285" y="15539358"/>
          <a:ext cx="1012371" cy="555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571500</xdr:colOff>
      <xdr:row>25</xdr:row>
      <xdr:rowOff>108858</xdr:rowOff>
    </xdr:from>
    <xdr:to>
      <xdr:col>5</xdr:col>
      <xdr:colOff>938893</xdr:colOff>
      <xdr:row>25</xdr:row>
      <xdr:rowOff>591147</xdr:rowOff>
    </xdr:to>
    <xdr:pic>
      <xdr:nvPicPr>
        <xdr:cNvPr id="5" name="Picture 9">
          <a:extLst>
            <a:ext uri="{FF2B5EF4-FFF2-40B4-BE49-F238E27FC236}">
              <a16:creationId xmlns:a16="http://schemas.microsoft.com/office/drawing/2014/main" id="{B43D6582-2793-4D52-8374-E52CD5DAF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 bwMode="auto">
        <a:xfrm>
          <a:off x="5701393" y="22778358"/>
          <a:ext cx="367393" cy="48228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122464</xdr:colOff>
      <xdr:row>8</xdr:row>
      <xdr:rowOff>176893</xdr:rowOff>
    </xdr:from>
    <xdr:to>
      <xdr:col>5</xdr:col>
      <xdr:colOff>1619250</xdr:colOff>
      <xdr:row>8</xdr:row>
      <xdr:rowOff>591911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6F92CB4D-506A-8088-BA42-4D52A34EC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2357" y="8232322"/>
          <a:ext cx="1496786" cy="415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topLeftCell="B1" zoomScale="70" zoomScaleNormal="70" workbookViewId="0">
      <selection activeCell="D25" sqref="D25"/>
    </sheetView>
  </sheetViews>
  <sheetFormatPr defaultRowHeight="15.75" x14ac:dyDescent="0.25"/>
  <cols>
    <col min="1" max="1" width="6.28515625" hidden="1" customWidth="1"/>
    <col min="2" max="2" width="7.7109375" style="3" customWidth="1"/>
    <col min="3" max="3" width="16.28515625" customWidth="1"/>
    <col min="4" max="4" width="41.28515625" style="66" customWidth="1"/>
    <col min="5" max="5" width="11.7109375" style="4" customWidth="1"/>
    <col min="6" max="6" width="26.7109375" customWidth="1"/>
    <col min="7" max="7" width="12.85546875" customWidth="1"/>
    <col min="8" max="8" width="10.140625" customWidth="1"/>
    <col min="9" max="10" width="11.7109375" customWidth="1"/>
    <col min="11" max="11" width="12.28515625" style="27" customWidth="1"/>
    <col min="12" max="12" width="12.28515625" customWidth="1"/>
    <col min="13" max="13" width="6.5703125" customWidth="1"/>
    <col min="14" max="14" width="14.140625" customWidth="1"/>
    <col min="15" max="15" width="7.28515625" customWidth="1"/>
    <col min="16" max="16" width="10.140625" customWidth="1"/>
  </cols>
  <sheetData>
    <row r="1" spans="1:16" ht="21" x14ac:dyDescent="0.25">
      <c r="A1" s="81" t="s">
        <v>21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spans="1:16" ht="18.75" customHeight="1" thickBot="1" x14ac:dyDescent="0.3">
      <c r="A2" s="8"/>
      <c r="B2" s="89" t="s">
        <v>19</v>
      </c>
      <c r="C2" s="89"/>
      <c r="D2" s="89"/>
      <c r="E2" s="89"/>
      <c r="F2" s="89"/>
      <c r="G2" s="89"/>
      <c r="H2" s="89"/>
      <c r="I2" s="89"/>
      <c r="J2" s="89"/>
      <c r="K2" s="89"/>
    </row>
    <row r="3" spans="1:16" ht="408.75" customHeight="1" thickBot="1" x14ac:dyDescent="0.3">
      <c r="A3" s="2"/>
      <c r="B3" s="86"/>
      <c r="C3" s="87"/>
      <c r="D3" s="87"/>
      <c r="E3" s="87"/>
      <c r="F3" s="87"/>
      <c r="G3" s="87"/>
      <c r="H3" s="87"/>
      <c r="I3" s="87"/>
      <c r="J3" s="87"/>
      <c r="K3" s="88"/>
    </row>
    <row r="4" spans="1:16" ht="69" customHeight="1" thickBot="1" x14ac:dyDescent="0.3">
      <c r="A4" s="9"/>
      <c r="B4" s="10" t="s">
        <v>0</v>
      </c>
      <c r="C4" s="5" t="s">
        <v>2</v>
      </c>
      <c r="D4" s="6" t="s">
        <v>1</v>
      </c>
      <c r="E4" s="5" t="s">
        <v>9</v>
      </c>
      <c r="F4" s="5" t="s">
        <v>3</v>
      </c>
      <c r="G4" s="5" t="s">
        <v>4</v>
      </c>
      <c r="H4" s="7" t="s">
        <v>5</v>
      </c>
      <c r="I4" s="7" t="s">
        <v>6</v>
      </c>
      <c r="J4" s="7" t="s">
        <v>7</v>
      </c>
      <c r="K4" s="29" t="s">
        <v>8</v>
      </c>
      <c r="L4" s="21" t="s">
        <v>13</v>
      </c>
      <c r="M4" s="39" t="s">
        <v>14</v>
      </c>
      <c r="N4" s="40" t="s">
        <v>15</v>
      </c>
      <c r="O4" s="39" t="s">
        <v>16</v>
      </c>
      <c r="P4" s="45" t="s">
        <v>17</v>
      </c>
    </row>
    <row r="5" spans="1:16" thickBot="1" x14ac:dyDescent="0.3">
      <c r="A5" s="30"/>
      <c r="B5" s="83" t="s">
        <v>10</v>
      </c>
      <c r="C5" s="84"/>
      <c r="D5" s="84"/>
      <c r="E5" s="84"/>
      <c r="F5" s="84"/>
      <c r="G5" s="84"/>
      <c r="H5" s="84"/>
      <c r="I5" s="84"/>
      <c r="J5" s="84"/>
      <c r="K5" s="85"/>
      <c r="L5" s="28"/>
      <c r="M5" s="41"/>
      <c r="N5" s="41"/>
      <c r="O5" s="41"/>
      <c r="P5" s="46"/>
    </row>
    <row r="6" spans="1:16" s="1" customFormat="1" ht="33.75" customHeight="1" x14ac:dyDescent="0.2">
      <c r="A6" s="30"/>
      <c r="B6" s="26">
        <v>1</v>
      </c>
      <c r="C6" s="60" t="s">
        <v>27</v>
      </c>
      <c r="D6" s="70" t="s">
        <v>22</v>
      </c>
      <c r="E6" s="23">
        <v>5</v>
      </c>
      <c r="F6" s="61"/>
      <c r="G6" s="69">
        <v>8014</v>
      </c>
      <c r="H6" s="53">
        <v>0.35</v>
      </c>
      <c r="I6" s="53">
        <v>0.1</v>
      </c>
      <c r="J6" s="53">
        <v>0.1</v>
      </c>
      <c r="K6" s="62">
        <f>H6*I6*J6</f>
        <v>3.4999999999999996E-3</v>
      </c>
      <c r="L6" s="47"/>
      <c r="M6" s="48"/>
      <c r="N6" s="48"/>
      <c r="O6" s="48"/>
      <c r="P6" s="48">
        <f t="shared" ref="P6:P30" si="0">K6*E6</f>
        <v>1.7499999999999998E-2</v>
      </c>
    </row>
    <row r="7" spans="1:16" s="1" customFormat="1" ht="34.5" customHeight="1" x14ac:dyDescent="0.2">
      <c r="A7" s="32"/>
      <c r="B7" s="11">
        <v>2</v>
      </c>
      <c r="C7" s="51" t="s">
        <v>28</v>
      </c>
      <c r="D7" s="12" t="s">
        <v>23</v>
      </c>
      <c r="E7" s="13">
        <v>1</v>
      </c>
      <c r="F7" s="52"/>
      <c r="G7" s="69">
        <v>8014</v>
      </c>
      <c r="H7" s="52">
        <v>1</v>
      </c>
      <c r="I7" s="52">
        <v>0.09</v>
      </c>
      <c r="J7" s="52">
        <v>0.09</v>
      </c>
      <c r="K7" s="63">
        <f t="shared" ref="K7:K8" si="1">H7*I7*J7</f>
        <v>8.0999999999999996E-3</v>
      </c>
      <c r="L7" s="28"/>
      <c r="M7" s="41"/>
      <c r="N7" s="41"/>
      <c r="O7" s="41"/>
      <c r="P7" s="48">
        <f t="shared" si="0"/>
        <v>8.0999999999999996E-3</v>
      </c>
    </row>
    <row r="8" spans="1:16" s="1" customFormat="1" ht="30.75" customHeight="1" x14ac:dyDescent="0.2">
      <c r="A8" s="32"/>
      <c r="B8" s="11">
        <v>3</v>
      </c>
      <c r="C8" s="51" t="s">
        <v>29</v>
      </c>
      <c r="D8" s="12" t="s">
        <v>24</v>
      </c>
      <c r="E8" s="13">
        <v>4</v>
      </c>
      <c r="F8" s="52"/>
      <c r="G8" s="69">
        <v>8014</v>
      </c>
      <c r="H8" s="52">
        <v>1.5</v>
      </c>
      <c r="I8" s="52">
        <v>0.09</v>
      </c>
      <c r="J8" s="52">
        <v>0.09</v>
      </c>
      <c r="K8" s="63">
        <f t="shared" si="1"/>
        <v>1.2150000000000001E-2</v>
      </c>
      <c r="L8" s="28"/>
      <c r="M8" s="41"/>
      <c r="N8" s="41"/>
      <c r="O8" s="41"/>
      <c r="P8" s="48">
        <f t="shared" si="0"/>
        <v>4.8600000000000004E-2</v>
      </c>
    </row>
    <row r="9" spans="1:16" s="1" customFormat="1" ht="63.75" customHeight="1" thickBot="1" x14ac:dyDescent="0.3">
      <c r="A9" s="32"/>
      <c r="B9" s="11">
        <v>4</v>
      </c>
      <c r="C9" s="14" t="s">
        <v>55</v>
      </c>
      <c r="D9" s="15" t="s">
        <v>30</v>
      </c>
      <c r="E9" s="14">
        <v>10</v>
      </c>
      <c r="F9" s="14"/>
      <c r="G9" s="16">
        <v>7047</v>
      </c>
      <c r="H9" s="14">
        <v>7.4999999999999997E-2</v>
      </c>
      <c r="I9" s="14">
        <v>7.4999999999999997E-2</v>
      </c>
      <c r="J9" s="14">
        <v>0.26</v>
      </c>
      <c r="K9" s="33">
        <f>H9*I9*J9</f>
        <v>1.4625E-3</v>
      </c>
      <c r="L9" s="21">
        <v>4</v>
      </c>
      <c r="M9" s="40">
        <f>L9*E9</f>
        <v>40</v>
      </c>
      <c r="N9" s="40"/>
      <c r="O9" s="40">
        <f t="shared" ref="O9:O30" si="2">N9*E9</f>
        <v>0</v>
      </c>
      <c r="P9" s="48">
        <f t="shared" si="0"/>
        <v>1.4625000000000001E-2</v>
      </c>
    </row>
    <row r="10" spans="1:16" thickBot="1" x14ac:dyDescent="0.3">
      <c r="A10" s="30"/>
      <c r="B10" s="74" t="s">
        <v>12</v>
      </c>
      <c r="C10" s="75"/>
      <c r="D10" s="75"/>
      <c r="E10" s="75"/>
      <c r="F10" s="75"/>
      <c r="G10" s="75"/>
      <c r="H10" s="75"/>
      <c r="I10" s="75"/>
      <c r="J10" s="75"/>
      <c r="K10" s="76"/>
      <c r="L10" s="28"/>
      <c r="M10" s="40">
        <f t="shared" ref="M10:M30" si="3">L10*E10</f>
        <v>0</v>
      </c>
      <c r="N10" s="41"/>
      <c r="O10" s="40">
        <f t="shared" si="2"/>
        <v>0</v>
      </c>
      <c r="P10" s="48">
        <f t="shared" si="0"/>
        <v>0</v>
      </c>
    </row>
    <row r="11" spans="1:16" s="1" customFormat="1" ht="93.75" customHeight="1" thickBot="1" x14ac:dyDescent="0.3">
      <c r="A11" s="80" t="s">
        <v>18</v>
      </c>
      <c r="B11" s="26">
        <v>5</v>
      </c>
      <c r="C11" s="67" t="s">
        <v>32</v>
      </c>
      <c r="D11" s="23" t="s">
        <v>56</v>
      </c>
      <c r="E11" s="23">
        <v>2</v>
      </c>
      <c r="F11" s="23"/>
      <c r="G11" s="68">
        <v>5017</v>
      </c>
      <c r="H11" s="23">
        <v>1.19</v>
      </c>
      <c r="I11" s="23">
        <v>0.7</v>
      </c>
      <c r="J11" s="23">
        <v>2.1000000000000001E-2</v>
      </c>
      <c r="K11" s="35">
        <f t="shared" ref="K11:K25" si="4">H11*I11*J11</f>
        <v>1.7493000000000002E-2</v>
      </c>
      <c r="L11" s="47">
        <v>4</v>
      </c>
      <c r="M11" s="40">
        <f t="shared" si="3"/>
        <v>8</v>
      </c>
      <c r="N11" s="48"/>
      <c r="O11" s="40">
        <f t="shared" si="2"/>
        <v>0</v>
      </c>
      <c r="P11" s="48">
        <f t="shared" si="0"/>
        <v>3.4986000000000003E-2</v>
      </c>
    </row>
    <row r="12" spans="1:16" s="1" customFormat="1" ht="63" customHeight="1" thickBot="1" x14ac:dyDescent="0.3">
      <c r="A12" s="80"/>
      <c r="B12" s="11">
        <v>6</v>
      </c>
      <c r="C12" s="67" t="s">
        <v>33</v>
      </c>
      <c r="D12" s="13" t="s">
        <v>57</v>
      </c>
      <c r="E12" s="13">
        <v>1</v>
      </c>
      <c r="F12" s="13"/>
      <c r="G12" s="22">
        <v>2008</v>
      </c>
      <c r="H12" s="13">
        <v>0.84699999999999998</v>
      </c>
      <c r="I12" s="13">
        <v>0.3</v>
      </c>
      <c r="J12" s="13">
        <v>2.1000000000000001E-2</v>
      </c>
      <c r="K12" s="31">
        <f t="shared" si="4"/>
        <v>5.3360999999999999E-3</v>
      </c>
      <c r="L12" s="47">
        <v>4</v>
      </c>
      <c r="M12" s="40">
        <f t="shared" si="3"/>
        <v>4</v>
      </c>
      <c r="N12" s="48"/>
      <c r="O12" s="40">
        <f t="shared" si="2"/>
        <v>0</v>
      </c>
      <c r="P12" s="48">
        <f t="shared" si="0"/>
        <v>5.3360999999999999E-3</v>
      </c>
    </row>
    <row r="13" spans="1:16" s="1" customFormat="1" ht="63" customHeight="1" x14ac:dyDescent="0.25">
      <c r="A13" s="80"/>
      <c r="B13" s="26">
        <v>7</v>
      </c>
      <c r="C13" s="49" t="s">
        <v>34</v>
      </c>
      <c r="D13" s="13" t="s">
        <v>58</v>
      </c>
      <c r="E13" s="13">
        <v>1</v>
      </c>
      <c r="F13" s="13"/>
      <c r="G13" s="22">
        <v>2008</v>
      </c>
      <c r="H13" s="13">
        <v>1.19</v>
      </c>
      <c r="I13" s="13">
        <v>0.3</v>
      </c>
      <c r="J13" s="13">
        <v>2.1000000000000001E-2</v>
      </c>
      <c r="K13" s="31">
        <f t="shared" ref="K13" si="5">H13*I13*J13</f>
        <v>7.4970000000000002E-3</v>
      </c>
      <c r="L13" s="47">
        <v>4</v>
      </c>
      <c r="M13" s="40">
        <f t="shared" ref="M13" si="6">L13*E13</f>
        <v>4</v>
      </c>
      <c r="N13" s="48"/>
      <c r="O13" s="40">
        <f t="shared" si="2"/>
        <v>0</v>
      </c>
      <c r="P13" s="48">
        <f t="shared" si="0"/>
        <v>7.4970000000000002E-3</v>
      </c>
    </row>
    <row r="14" spans="1:16" s="1" customFormat="1" ht="63" customHeight="1" thickBot="1" x14ac:dyDescent="0.3">
      <c r="A14" s="80"/>
      <c r="B14" s="11">
        <v>8</v>
      </c>
      <c r="C14" s="49" t="s">
        <v>35</v>
      </c>
      <c r="D14" s="13" t="s">
        <v>59</v>
      </c>
      <c r="E14" s="13">
        <v>1</v>
      </c>
      <c r="F14" s="13"/>
      <c r="G14" s="22">
        <v>2008</v>
      </c>
      <c r="H14" s="13">
        <v>2</v>
      </c>
      <c r="I14" s="13">
        <v>0.3</v>
      </c>
      <c r="J14" s="13">
        <v>2.1000000000000001E-2</v>
      </c>
      <c r="K14" s="31">
        <f t="shared" ref="K14" si="7">H14*I14*J14</f>
        <v>1.26E-2</v>
      </c>
      <c r="L14" s="47">
        <v>4</v>
      </c>
      <c r="M14" s="40">
        <f t="shared" ref="M14:M15" si="8">L14*E14</f>
        <v>4</v>
      </c>
      <c r="N14" s="48"/>
      <c r="O14" s="40">
        <f t="shared" si="2"/>
        <v>0</v>
      </c>
      <c r="P14" s="48">
        <f t="shared" si="0"/>
        <v>1.26E-2</v>
      </c>
    </row>
    <row r="15" spans="1:16" s="1" customFormat="1" ht="75" customHeight="1" x14ac:dyDescent="0.25">
      <c r="A15" s="80"/>
      <c r="B15" s="26">
        <v>9</v>
      </c>
      <c r="C15" s="49" t="s">
        <v>36</v>
      </c>
      <c r="D15" s="13" t="s">
        <v>60</v>
      </c>
      <c r="E15" s="13">
        <v>1</v>
      </c>
      <c r="F15" s="50"/>
      <c r="G15" s="68">
        <v>5017</v>
      </c>
      <c r="H15" s="13">
        <v>0.8</v>
      </c>
      <c r="I15" s="13">
        <v>0.7</v>
      </c>
      <c r="J15" s="13">
        <v>2.1000000000000001E-2</v>
      </c>
      <c r="K15" s="43">
        <f>H15*I15*J15</f>
        <v>1.176E-2</v>
      </c>
      <c r="L15" s="59">
        <v>4</v>
      </c>
      <c r="M15" s="50">
        <f t="shared" si="8"/>
        <v>4</v>
      </c>
      <c r="N15" s="57"/>
      <c r="O15" s="40">
        <f t="shared" si="2"/>
        <v>0</v>
      </c>
      <c r="P15" s="48">
        <f t="shared" si="0"/>
        <v>1.176E-2</v>
      </c>
    </row>
    <row r="16" spans="1:16" s="1" customFormat="1" ht="61.5" customHeight="1" thickBot="1" x14ac:dyDescent="0.3">
      <c r="A16" s="80"/>
      <c r="B16" s="11">
        <v>10</v>
      </c>
      <c r="C16" s="49" t="s">
        <v>37</v>
      </c>
      <c r="D16" s="13" t="s">
        <v>31</v>
      </c>
      <c r="E16" s="13">
        <v>2</v>
      </c>
      <c r="F16" s="50"/>
      <c r="G16" s="54">
        <v>7047</v>
      </c>
      <c r="H16" s="13">
        <v>0.55000000000000004</v>
      </c>
      <c r="I16" s="13">
        <v>0.1</v>
      </c>
      <c r="J16" s="13">
        <v>1.4999999999999999E-2</v>
      </c>
      <c r="K16" s="43">
        <f>H16*I16*J16</f>
        <v>8.250000000000001E-4</v>
      </c>
      <c r="L16" s="59"/>
      <c r="M16" s="50"/>
      <c r="N16" s="57">
        <v>3</v>
      </c>
      <c r="O16" s="40">
        <f t="shared" si="2"/>
        <v>6</v>
      </c>
      <c r="P16" s="48">
        <f t="shared" si="0"/>
        <v>1.6500000000000002E-3</v>
      </c>
    </row>
    <row r="17" spans="1:16" s="1" customFormat="1" ht="75.75" customHeight="1" thickBot="1" x14ac:dyDescent="0.3">
      <c r="A17" s="80"/>
      <c r="B17" s="26">
        <v>11</v>
      </c>
      <c r="C17" s="49" t="s">
        <v>38</v>
      </c>
      <c r="D17" s="13" t="s">
        <v>61</v>
      </c>
      <c r="E17" s="13">
        <v>1</v>
      </c>
      <c r="F17" s="46"/>
      <c r="G17" s="68">
        <v>5017</v>
      </c>
      <c r="H17" s="13">
        <v>0.8</v>
      </c>
      <c r="I17" s="13">
        <v>0.7</v>
      </c>
      <c r="J17" s="13">
        <v>2.1000000000000001E-2</v>
      </c>
      <c r="K17" s="31">
        <f t="shared" si="4"/>
        <v>1.176E-2</v>
      </c>
      <c r="L17" s="47">
        <v>4</v>
      </c>
      <c r="M17" s="40">
        <f t="shared" si="3"/>
        <v>4</v>
      </c>
      <c r="N17" s="48"/>
      <c r="O17" s="40">
        <f t="shared" si="2"/>
        <v>0</v>
      </c>
      <c r="P17" s="48">
        <f t="shared" si="0"/>
        <v>1.176E-2</v>
      </c>
    </row>
    <row r="18" spans="1:16" s="1" customFormat="1" ht="63.75" customHeight="1" thickBot="1" x14ac:dyDescent="0.3">
      <c r="A18" s="80"/>
      <c r="B18" s="11">
        <v>12</v>
      </c>
      <c r="C18" s="49" t="s">
        <v>39</v>
      </c>
      <c r="D18" s="12" t="s">
        <v>62</v>
      </c>
      <c r="E18" s="13">
        <v>1</v>
      </c>
      <c r="F18"/>
      <c r="G18" s="68">
        <v>5017</v>
      </c>
      <c r="H18" s="13">
        <v>0.62</v>
      </c>
      <c r="I18" s="13">
        <v>0.26800000000000002</v>
      </c>
      <c r="J18" s="13">
        <v>2.1000000000000001E-2</v>
      </c>
      <c r="K18" s="43">
        <f t="shared" si="4"/>
        <v>3.4893600000000004E-3</v>
      </c>
      <c r="L18" s="59"/>
      <c r="M18" s="50"/>
      <c r="N18" s="57">
        <v>2</v>
      </c>
      <c r="O18" s="40">
        <f t="shared" si="2"/>
        <v>2</v>
      </c>
      <c r="P18" s="48">
        <f t="shared" si="0"/>
        <v>3.4893600000000004E-3</v>
      </c>
    </row>
    <row r="19" spans="1:16" s="1" customFormat="1" ht="63.75" customHeight="1" x14ac:dyDescent="0.25">
      <c r="A19" s="80"/>
      <c r="B19" s="26">
        <v>13</v>
      </c>
      <c r="C19" s="49" t="s">
        <v>40</v>
      </c>
      <c r="D19" s="13" t="s">
        <v>63</v>
      </c>
      <c r="E19" s="13">
        <v>1</v>
      </c>
      <c r="F19" s="13"/>
      <c r="G19" s="68">
        <v>5017</v>
      </c>
      <c r="H19" s="13">
        <v>0.28999999999999998</v>
      </c>
      <c r="I19" s="13">
        <v>0.28999999999999998</v>
      </c>
      <c r="J19" s="13">
        <v>2.1000000000000001E-2</v>
      </c>
      <c r="K19" s="31">
        <f>H19*I19*J19</f>
        <v>1.7661E-3</v>
      </c>
      <c r="L19" s="47"/>
      <c r="M19" s="40"/>
      <c r="N19" s="48"/>
      <c r="O19" s="40"/>
      <c r="P19" s="48">
        <f>K19*E19</f>
        <v>1.7661E-3</v>
      </c>
    </row>
    <row r="20" spans="1:16" s="1" customFormat="1" ht="71.25" customHeight="1" thickBot="1" x14ac:dyDescent="0.3">
      <c r="A20" s="80"/>
      <c r="B20" s="11">
        <v>14</v>
      </c>
      <c r="C20" s="49" t="s">
        <v>41</v>
      </c>
      <c r="D20" s="13" t="s">
        <v>42</v>
      </c>
      <c r="E20" s="13">
        <v>1</v>
      </c>
      <c r="F20" s="13"/>
      <c r="G20" s="24">
        <v>7047</v>
      </c>
      <c r="H20" s="13">
        <v>0.40699999999999997</v>
      </c>
      <c r="I20" s="13">
        <v>0.35699999999999998</v>
      </c>
      <c r="J20" s="13">
        <v>1.4999999999999999E-2</v>
      </c>
      <c r="K20" s="31">
        <f t="shared" si="4"/>
        <v>2.1794849999999997E-3</v>
      </c>
      <c r="L20" s="47"/>
      <c r="M20" s="40">
        <f t="shared" si="3"/>
        <v>0</v>
      </c>
      <c r="N20" s="48">
        <v>3</v>
      </c>
      <c r="O20" s="40">
        <f t="shared" si="2"/>
        <v>3</v>
      </c>
      <c r="P20" s="48">
        <f t="shared" si="0"/>
        <v>2.1794849999999997E-3</v>
      </c>
    </row>
    <row r="21" spans="1:16" s="1" customFormat="1" ht="70.5" customHeight="1" x14ac:dyDescent="0.25">
      <c r="A21" s="80"/>
      <c r="B21" s="26">
        <v>15</v>
      </c>
      <c r="C21" s="49" t="s">
        <v>44</v>
      </c>
      <c r="D21" s="13" t="s">
        <v>43</v>
      </c>
      <c r="E21" s="13">
        <v>2</v>
      </c>
      <c r="F21" s="13"/>
      <c r="G21" s="24">
        <v>7047</v>
      </c>
      <c r="H21" s="13">
        <v>0.34899999999999998</v>
      </c>
      <c r="I21" s="13">
        <v>0.17499999999999999</v>
      </c>
      <c r="J21" s="13">
        <v>1.4999999999999999E-2</v>
      </c>
      <c r="K21" s="31">
        <f t="shared" si="4"/>
        <v>9.1612499999999984E-4</v>
      </c>
      <c r="L21" s="47"/>
      <c r="M21" s="40">
        <f t="shared" si="3"/>
        <v>0</v>
      </c>
      <c r="N21" s="48">
        <v>2</v>
      </c>
      <c r="O21" s="40">
        <f t="shared" si="2"/>
        <v>4</v>
      </c>
      <c r="P21" s="48">
        <f t="shared" si="0"/>
        <v>1.8322499999999997E-3</v>
      </c>
    </row>
    <row r="22" spans="1:16" s="1" customFormat="1" ht="70.5" customHeight="1" x14ac:dyDescent="0.25">
      <c r="A22" s="80"/>
      <c r="B22" s="11">
        <v>16</v>
      </c>
      <c r="C22" s="49" t="s">
        <v>44</v>
      </c>
      <c r="D22" s="13" t="s">
        <v>43</v>
      </c>
      <c r="E22" s="13">
        <v>2</v>
      </c>
      <c r="F22" s="13"/>
      <c r="G22" s="55">
        <v>3020</v>
      </c>
      <c r="H22" s="13">
        <v>0.34899999999999998</v>
      </c>
      <c r="I22" s="13">
        <v>0.17499999999999999</v>
      </c>
      <c r="J22" s="13">
        <v>1.4999999999999999E-2</v>
      </c>
      <c r="K22" s="31">
        <f t="shared" ref="K22" si="9">H22*I22*J22</f>
        <v>9.1612499999999984E-4</v>
      </c>
      <c r="L22" s="47"/>
      <c r="M22" s="40">
        <f t="shared" ref="M22" si="10">L22*E22</f>
        <v>0</v>
      </c>
      <c r="N22" s="48">
        <v>2</v>
      </c>
      <c r="O22" s="40">
        <f t="shared" si="2"/>
        <v>4</v>
      </c>
      <c r="P22" s="48">
        <f t="shared" si="0"/>
        <v>1.8322499999999997E-3</v>
      </c>
    </row>
    <row r="23" spans="1:16" s="1" customFormat="1" ht="87.75" customHeight="1" x14ac:dyDescent="0.25">
      <c r="A23" s="80"/>
      <c r="B23" s="11">
        <v>17</v>
      </c>
      <c r="C23" s="49" t="s">
        <v>45</v>
      </c>
      <c r="D23" s="13" t="s">
        <v>64</v>
      </c>
      <c r="E23" s="13">
        <v>2</v>
      </c>
      <c r="F23" s="13"/>
      <c r="G23" s="22">
        <v>2008</v>
      </c>
      <c r="H23" s="13">
        <v>0.35</v>
      </c>
      <c r="I23" s="13">
        <v>0.35</v>
      </c>
      <c r="J23" s="13">
        <v>1.4999999999999999E-2</v>
      </c>
      <c r="K23" s="31">
        <f t="shared" si="4"/>
        <v>1.8374999999999997E-3</v>
      </c>
      <c r="L23" s="47"/>
      <c r="M23" s="40">
        <f t="shared" si="3"/>
        <v>0</v>
      </c>
      <c r="N23" s="48">
        <v>2</v>
      </c>
      <c r="O23" s="40">
        <f t="shared" si="2"/>
        <v>4</v>
      </c>
      <c r="P23" s="48">
        <f t="shared" si="0"/>
        <v>3.6749999999999994E-3</v>
      </c>
    </row>
    <row r="24" spans="1:16" s="1" customFormat="1" ht="57" customHeight="1" x14ac:dyDescent="0.25">
      <c r="A24" s="80"/>
      <c r="B24" s="11">
        <v>18</v>
      </c>
      <c r="C24" s="49" t="s">
        <v>46</v>
      </c>
      <c r="D24" s="13" t="s">
        <v>65</v>
      </c>
      <c r="E24" s="13">
        <v>2</v>
      </c>
      <c r="F24" s="50"/>
      <c r="G24" s="54">
        <v>7047</v>
      </c>
      <c r="H24" s="13">
        <v>0.89300000000000002</v>
      </c>
      <c r="I24" s="13">
        <v>0.4</v>
      </c>
      <c r="J24" s="13">
        <v>1.4999999999999999E-2</v>
      </c>
      <c r="K24" s="43">
        <f t="shared" si="4"/>
        <v>5.3579999999999999E-3</v>
      </c>
      <c r="L24" s="59">
        <v>4</v>
      </c>
      <c r="M24" s="50"/>
      <c r="N24" s="57">
        <v>4</v>
      </c>
      <c r="O24" s="40">
        <f t="shared" si="2"/>
        <v>8</v>
      </c>
      <c r="P24" s="48">
        <f t="shared" si="0"/>
        <v>1.0716E-2</v>
      </c>
    </row>
    <row r="25" spans="1:16" s="1" customFormat="1" ht="87.75" customHeight="1" x14ac:dyDescent="0.25">
      <c r="A25" s="80"/>
      <c r="B25" s="11">
        <v>19</v>
      </c>
      <c r="C25" s="49" t="s">
        <v>48</v>
      </c>
      <c r="D25" s="13" t="s">
        <v>47</v>
      </c>
      <c r="E25" s="13">
        <v>2</v>
      </c>
      <c r="F25" s="50"/>
      <c r="G25" s="56">
        <v>5012</v>
      </c>
      <c r="H25" s="13">
        <v>1</v>
      </c>
      <c r="I25" s="13">
        <v>0.5</v>
      </c>
      <c r="J25" s="13">
        <v>1.4999999999999999E-2</v>
      </c>
      <c r="K25" s="43">
        <f t="shared" si="4"/>
        <v>7.4999999999999997E-3</v>
      </c>
      <c r="L25" s="59"/>
      <c r="M25" s="50"/>
      <c r="N25" s="57">
        <v>4</v>
      </c>
      <c r="O25" s="40">
        <f t="shared" si="2"/>
        <v>8</v>
      </c>
      <c r="P25" s="48">
        <f t="shared" si="0"/>
        <v>1.4999999999999999E-2</v>
      </c>
    </row>
    <row r="26" spans="1:16" s="1" customFormat="1" ht="55.5" customHeight="1" thickBot="1" x14ac:dyDescent="0.25">
      <c r="A26" s="34"/>
      <c r="B26" s="11">
        <v>20</v>
      </c>
      <c r="C26" s="14" t="s">
        <v>49</v>
      </c>
      <c r="D26" s="15" t="s">
        <v>11</v>
      </c>
      <c r="E26" s="14">
        <v>22</v>
      </c>
      <c r="F26" s="14"/>
      <c r="G26" s="16">
        <v>7047</v>
      </c>
      <c r="H26" s="14"/>
      <c r="I26" s="14"/>
      <c r="J26" s="14"/>
      <c r="K26" s="33"/>
      <c r="L26" s="21"/>
      <c r="M26" s="40">
        <f t="shared" si="3"/>
        <v>0</v>
      </c>
      <c r="N26" s="40">
        <v>2</v>
      </c>
      <c r="O26" s="40">
        <f t="shared" si="2"/>
        <v>44</v>
      </c>
      <c r="P26" s="48">
        <f t="shared" si="0"/>
        <v>0</v>
      </c>
    </row>
    <row r="27" spans="1:16" s="1" customFormat="1" ht="25.5" customHeight="1" x14ac:dyDescent="0.2">
      <c r="A27" s="36"/>
      <c r="B27" s="77" t="s">
        <v>20</v>
      </c>
      <c r="C27" s="78"/>
      <c r="D27" s="78"/>
      <c r="E27" s="78"/>
      <c r="F27" s="78"/>
      <c r="G27" s="78"/>
      <c r="H27" s="78"/>
      <c r="I27" s="78"/>
      <c r="J27" s="78"/>
      <c r="K27" s="79"/>
      <c r="L27" s="21"/>
      <c r="M27" s="40">
        <f t="shared" si="3"/>
        <v>0</v>
      </c>
      <c r="N27" s="40"/>
      <c r="O27" s="40">
        <f t="shared" si="2"/>
        <v>0</v>
      </c>
      <c r="P27" s="48">
        <f t="shared" si="0"/>
        <v>0</v>
      </c>
    </row>
    <row r="28" spans="1:16" ht="58.5" customHeight="1" x14ac:dyDescent="0.25">
      <c r="A28" s="37"/>
      <c r="B28" s="11">
        <v>21</v>
      </c>
      <c r="C28" s="71" t="s">
        <v>51</v>
      </c>
      <c r="D28" s="72" t="s">
        <v>50</v>
      </c>
      <c r="E28" s="17">
        <v>83</v>
      </c>
      <c r="F28" s="18"/>
      <c r="G28" s="19" t="s">
        <v>54</v>
      </c>
      <c r="H28" s="19"/>
      <c r="I28" s="19"/>
      <c r="J28" s="19"/>
      <c r="K28" s="38"/>
      <c r="L28" s="28"/>
      <c r="M28" s="40">
        <f t="shared" si="3"/>
        <v>0</v>
      </c>
      <c r="N28" s="41"/>
      <c r="O28" s="40">
        <f t="shared" si="2"/>
        <v>0</v>
      </c>
      <c r="P28" s="48">
        <f t="shared" si="0"/>
        <v>0</v>
      </c>
    </row>
    <row r="29" spans="1:16" ht="73.5" customHeight="1" x14ac:dyDescent="0.25">
      <c r="A29" s="37"/>
      <c r="B29" s="11">
        <v>22</v>
      </c>
      <c r="C29" s="71" t="s">
        <v>52</v>
      </c>
      <c r="D29" s="72" t="s">
        <v>25</v>
      </c>
      <c r="E29" s="17">
        <v>68</v>
      </c>
      <c r="F29" s="18"/>
      <c r="G29" s="19" t="s">
        <v>54</v>
      </c>
      <c r="H29" s="19"/>
      <c r="I29" s="19"/>
      <c r="J29" s="19"/>
      <c r="K29" s="38">
        <v>1E-3</v>
      </c>
      <c r="L29" s="28"/>
      <c r="M29" s="40">
        <f t="shared" si="3"/>
        <v>0</v>
      </c>
      <c r="N29" s="41"/>
      <c r="O29" s="40">
        <f t="shared" si="2"/>
        <v>0</v>
      </c>
      <c r="P29" s="48">
        <f t="shared" si="0"/>
        <v>6.8000000000000005E-2</v>
      </c>
    </row>
    <row r="30" spans="1:16" ht="66.75" customHeight="1" thickBot="1" x14ac:dyDescent="0.3">
      <c r="A30" s="42"/>
      <c r="B30" s="25">
        <v>23</v>
      </c>
      <c r="C30" s="73" t="s">
        <v>53</v>
      </c>
      <c r="D30" s="73" t="s">
        <v>26</v>
      </c>
      <c r="E30" s="64">
        <v>6</v>
      </c>
      <c r="F30" s="65"/>
      <c r="G30" s="19" t="s">
        <v>54</v>
      </c>
      <c r="H30" s="20"/>
      <c r="I30" s="20"/>
      <c r="J30" s="20"/>
      <c r="K30" s="44"/>
      <c r="L30" s="58"/>
      <c r="M30" s="40">
        <f t="shared" si="3"/>
        <v>0</v>
      </c>
      <c r="N30" s="46"/>
      <c r="O30" s="40">
        <f t="shared" si="2"/>
        <v>0</v>
      </c>
      <c r="P30" s="48">
        <f t="shared" si="0"/>
        <v>0</v>
      </c>
    </row>
    <row r="31" spans="1:16" x14ac:dyDescent="0.25">
      <c r="M31">
        <f>SUM(M7:M30)</f>
        <v>68</v>
      </c>
      <c r="O31">
        <f>SUM(O9:O30)</f>
        <v>83</v>
      </c>
      <c r="P31">
        <f>SUM(P6:P30)</f>
        <v>0.28290454500000006</v>
      </c>
    </row>
  </sheetData>
  <mergeCells count="7">
    <mergeCell ref="B10:K10"/>
    <mergeCell ref="B27:K27"/>
    <mergeCell ref="A11:A25"/>
    <mergeCell ref="A1:K1"/>
    <mergeCell ref="B5:K5"/>
    <mergeCell ref="B3:K3"/>
    <mergeCell ref="B2:K2"/>
  </mergeCells>
  <phoneticPr fontId="17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Андрей Иванов</cp:lastModifiedBy>
  <dcterms:created xsi:type="dcterms:W3CDTF">2017-04-27T07:18:00Z</dcterms:created>
  <dcterms:modified xsi:type="dcterms:W3CDTF">2024-02-11T17:22:23Z</dcterms:modified>
</cp:coreProperties>
</file>