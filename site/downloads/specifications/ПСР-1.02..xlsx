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<sst xmlns="http://schemas.openxmlformats.org/spreadsheetml/2006/main" count="49" uniqueCount="49">
  <si>
    <t>ПСР-1.02</t>
  </si>
  <si>
    <t xml:space="preserve">Размер  2,46 х 2,46 х 0,37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</si>
  <si>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</si>
  <si>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</si>
  <si>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</si>
  <si>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</si>
  <si>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</si>
  <si>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</si>
  <si>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</si>
  <si>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</si>
  <si>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</si>
  <si>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</si>
  <si>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</si>
  <si>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</si>
  <si>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</si>
  <si>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</si>
  <si>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</si>
  <si>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</si>
  <si>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СТОЛБЫ</t>
  </si>
  <si>
    <t>0080ДБ</t>
  </si>
  <si>
    <t xml:space="preserve">Столб (брус 100х100) 350 мм</t>
  </si>
  <si>
    <t>0013МП</t>
  </si>
  <si>
    <t xml:space="preserve">Закладная торцевая 100х100</t>
  </si>
  <si>
    <t xml:space="preserve">Шуруп (глухарь) 8х50 - 4 шт.                         Шайба м8 увел. - 4шт.                         </t>
  </si>
  <si>
    <t>ПАНЕЛИ</t>
  </si>
  <si>
    <t>000723</t>
  </si>
  <si>
    <t xml:space="preserve">Борт 1 песочницы 1.02 (800х300х21мм) </t>
  </si>
  <si>
    <t xml:space="preserve">Шуруп (глухарь) 8х80 - 4 шт.                         Шайба м8 увел. - 4шт.                         </t>
  </si>
  <si>
    <t>000724</t>
  </si>
  <si>
    <t xml:space="preserve">Борт 2 песочницы 1.02 (870х300х21мм) </t>
  </si>
  <si>
    <t>000725</t>
  </si>
  <si>
    <t xml:space="preserve">Лавка 1 песочницы 1.02
(800x200x21мм)</t>
  </si>
  <si>
    <t>000726</t>
  </si>
  <si>
    <t xml:space="preserve">Лавка 2 песочницы 1.02
(996x218x21мм)</t>
  </si>
  <si>
    <t>0003МП</t>
  </si>
  <si>
    <t xml:space="preserve">Уголок крепежный 55х55х40 90гр.</t>
  </si>
  <si>
    <t xml:space="preserve">Болт мебельный М6х35 - 1 шт.         Шуруп (глухарь) 8х80 - 4 шт.                      Шайба м8 увел. - 2 шт.                    Гайка м6 - 2 шт        </t>
  </si>
  <si>
    <t xml:space="preserve">Уголок крепежный 55х55х40 90гр</t>
  </si>
  <si>
    <t xml:space="preserve">Болт мебельный М6х35 - 2 шт.                               Шайба м8 увел. - 2 шт.                    Гайка м6 - 2 шт        </t>
  </si>
  <si>
    <t>0059МП</t>
  </si>
  <si>
    <t xml:space="preserve">Уголок 135гр.</t>
  </si>
  <si>
    <t>ЗАГЛУШКИ</t>
  </si>
  <si>
    <t xml:space="preserve"> КЧМ6КС</t>
  </si>
  <si>
    <t xml:space="preserve">Заглушка К4М6КС</t>
  </si>
  <si>
    <t>Черный</t>
  </si>
  <si>
    <t xml:space="preserve">Заглушка К4М8КС</t>
  </si>
  <si>
    <t>12</t>
  </si>
  <si>
    <t>100-100.11КК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</si>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</sst>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"/>
    <numFmt numFmtId="164" formatCode="0.00000"/>
  </numFmts>
  <fonts count="6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  <font>
      <sz val="11.000000"/>
      <name val="Calibri"/>
      <scheme val="minor"/>
    </font>
    <font>
      <sz val="12.000000"/>
      <name val="Calibri"/>
      <scheme val="minor"/>
    </font>
    <font>
      <sz val="12.000000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3300"/>
        <bgColor rgb="FF6633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34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85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left" indent="1"/>
    </xf>
    <xf fontId="1" fillId="0" borderId="0" numFmtId="0" xfId="0" applyFont="1" applyAlignment="1">
      <alignment horizontal="center" vertical="center"/>
    </xf>
    <xf fontId="1" fillId="0" borderId="0" numFmtId="161" xfId="1" applyNumberFormat="1" applyFon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3" fillId="0" borderId="11" numFmtId="161" xfId="1" applyNumberFormat="1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3" numFmtId="0" xfId="0" applyFont="1" applyBorder="1"/>
    <xf fontId="1" fillId="3" borderId="14" numFmtId="0" xfId="0" applyFont="1" applyFill="1" applyBorder="1" applyAlignment="1">
      <alignment horizontal="center" vertical="center"/>
    </xf>
    <xf fontId="1" fillId="3" borderId="15" numFmtId="0" xfId="0" applyFont="1" applyFill="1" applyBorder="1" applyAlignment="1">
      <alignment horizontal="center" vertical="center"/>
    </xf>
    <xf fontId="1" fillId="3" borderId="16" numFmtId="0" xfId="0" applyFont="1" applyFill="1" applyBorder="1" applyAlignment="1">
      <alignment horizontal="center" vertical="center"/>
    </xf>
    <xf fontId="1" fillId="0" borderId="11" numFmtId="162" xfId="0" applyNumberFormat="1" applyFont="1" applyBorder="1" applyAlignment="1">
      <alignment horizontal="center" vertical="center" wrapText="1"/>
    </xf>
    <xf fontId="0" fillId="0" borderId="12" numFmtId="162" xfId="0" applyNumberFormat="1" applyBorder="1" applyAlignment="1">
      <alignment horizontal="center" vertical="center" wrapText="1"/>
    </xf>
    <xf fontId="1" fillId="0" borderId="12" numFmtId="0" xfId="0" applyFont="1" applyBorder="1"/>
    <xf fontId="1" fillId="0" borderId="11" numFmtId="0" xfId="0" applyFont="1" applyBorder="1"/>
    <xf fontId="1" fillId="0" borderId="0" numFmtId="0" xfId="0" applyFont="1" applyAlignment="1">
      <alignment horizontal="center" vertical="center" wrapText="1"/>
    </xf>
    <xf fontId="1" fillId="4" borderId="0" numFmtId="0" xfId="0" applyFont="1" applyFill="1" applyAlignment="1">
      <alignment horizontal="center" textRotation="90" vertical="center" wrapText="1"/>
    </xf>
    <xf fontId="1" fillId="0" borderId="17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/>
    </xf>
    <xf fontId="1" fillId="0" borderId="18" numFmtId="0" xfId="0" applyFont="1" applyBorder="1" applyAlignment="1">
      <alignment horizontal="center" vertical="center" wrapText="1"/>
    </xf>
    <xf fontId="5" fillId="5" borderId="11" numFmtId="0" xfId="0" applyFont="1" applyFill="1" applyBorder="1" applyAlignment="1">
      <alignment horizontal="center" vertical="center"/>
    </xf>
    <xf fontId="1" fillId="0" borderId="19" numFmtId="162" xfId="0" applyNumberFormat="1" applyFont="1" applyBorder="1" applyAlignment="1">
      <alignment horizontal="center" vertical="center" wrapText="1"/>
    </xf>
    <xf fontId="4" fillId="0" borderId="20" numFmtId="0" xfId="0" applyFont="1" applyBorder="1" applyAlignment="1">
      <alignment horizontal="center" textRotation="90" vertical="center" wrapText="1"/>
    </xf>
    <xf fontId="4" fillId="0" borderId="11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 wrapText="1"/>
    </xf>
    <xf fontId="1" fillId="4" borderId="21" numFmtId="0" xfId="0" applyFont="1" applyFill="1" applyBorder="1" applyAlignment="1">
      <alignment horizontal="center" vertical="center"/>
    </xf>
    <xf fontId="1" fillId="0" borderId="22" numFmtId="163" xfId="1" applyNumberFormat="1" applyFont="1" applyBorder="1" applyAlignment="1">
      <alignment horizontal="center" vertical="center" wrapText="1"/>
    </xf>
    <xf fontId="1" fillId="0" borderId="23" numFmtId="162" xfId="0" applyNumberFormat="1" applyFont="1" applyBorder="1" applyAlignment="1">
      <alignment horizontal="center" vertical="center" wrapText="1"/>
    </xf>
    <xf fontId="3" fillId="0" borderId="11" numFmtId="162" xfId="0" applyNumberFormat="1" applyFont="1" applyBorder="1" applyAlignment="1">
      <alignment horizontal="center" vertical="center" wrapText="1"/>
    </xf>
    <xf fontId="1" fillId="0" borderId="24" numFmtId="0" xfId="0" applyFont="1" applyBorder="1"/>
    <xf fontId="1" fillId="3" borderId="8" numFmtId="0" xfId="0" applyFont="1" applyFill="1" applyBorder="1" applyAlignment="1">
      <alignment horizontal="center" vertical="center"/>
    </xf>
    <xf fontId="1" fillId="3" borderId="9" numFmtId="0" xfId="0" applyFont="1" applyFill="1" applyBorder="1" applyAlignment="1">
      <alignment horizontal="center" vertical="center"/>
    </xf>
    <xf fontId="1" fillId="3" borderId="10" numFmtId="0" xfId="0" applyFont="1" applyFill="1" applyBorder="1" applyAlignment="1">
      <alignment horizontal="center" vertical="center"/>
    </xf>
    <xf fontId="1" fillId="0" borderId="1" numFmtId="0" xfId="0" applyFont="1" applyBorder="1"/>
    <xf fontId="1" fillId="0" borderId="2" numFmtId="0" xfId="0" applyFont="1" applyBorder="1" applyAlignment="1">
      <alignment horizontal="center" vertical="center" wrapText="1"/>
    </xf>
    <xf fontId="1" fillId="0" borderId="2" numFmtId="49" xfId="0" applyNumberFormat="1" applyFont="1" applyBorder="1" applyAlignment="1">
      <alignment horizontal="center" vertical="center" wrapText="1"/>
    </xf>
    <xf fontId="4" fillId="6" borderId="2" numFmtId="0" xfId="0" applyFont="1" applyFill="1" applyBorder="1" applyAlignment="1">
      <alignment horizontal="center" vertical="center"/>
    </xf>
    <xf fontId="1" fillId="0" borderId="25" numFmtId="162" xfId="0" applyNumberFormat="1" applyFont="1" applyBorder="1" applyAlignment="1">
      <alignment horizontal="center" vertical="center" wrapText="1"/>
    </xf>
    <xf fontId="1" fillId="0" borderId="12" numFmtId="162" xfId="0" applyNumberFormat="1" applyFont="1" applyBorder="1" applyAlignment="1">
      <alignment horizontal="center" vertical="center" wrapText="1"/>
    </xf>
    <xf fontId="1" fillId="0" borderId="12" numFmtId="0" xfId="1" applyFont="1" applyBorder="1" applyAlignment="1">
      <alignment horizontal="center" vertical="center" wrapText="1"/>
    </xf>
    <xf fontId="1" fillId="0" borderId="20" numFmtId="0" xfId="0" applyFont="1" applyBorder="1"/>
    <xf fontId="1" fillId="0" borderId="11" numFmtId="49" xfId="0" applyNumberFormat="1" applyFont="1" applyBorder="1" applyAlignment="1">
      <alignment horizontal="center" vertical="center" wrapText="1"/>
    </xf>
    <xf fontId="1" fillId="7" borderId="11" numFmtId="0" xfId="0" applyFont="1" applyFill="1" applyBorder="1" applyAlignment="1">
      <alignment horizontal="center" vertical="center"/>
    </xf>
    <xf fontId="1" fillId="0" borderId="26" numFmtId="162" xfId="0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left" indent="1" vertical="center" wrapText="1"/>
    </xf>
    <xf fontId="4" fillId="6" borderId="11" numFmtId="0" xfId="0" applyFont="1" applyFill="1" applyBorder="1" applyAlignment="1">
      <alignment horizontal="center" vertical="center"/>
    </xf>
    <xf fontId="1" fillId="4" borderId="11" numFmtId="0" xfId="0" applyFont="1" applyFill="1" applyBorder="1" applyAlignment="1">
      <alignment horizontal="center" vertical="center"/>
    </xf>
    <xf fontId="1" fillId="0" borderId="26" numFmtId="161" xfId="1" applyNumberFormat="1" applyFont="1" applyBorder="1" applyAlignment="1">
      <alignment vertical="center" wrapText="1"/>
    </xf>
    <xf fontId="0" fillId="0" borderId="11" numFmtId="162" xfId="0" applyNumberFormat="1" applyBorder="1" applyAlignment="1">
      <alignment horizontal="center" vertical="center" wrapText="1"/>
    </xf>
    <xf fontId="1" fillId="3" borderId="3" numFmtId="0" xfId="0" applyFont="1" applyFill="1" applyBorder="1" applyAlignment="1">
      <alignment horizontal="center" textRotation="90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/>
    </xf>
    <xf fontId="1" fillId="4" borderId="4" numFmtId="0" xfId="0" applyFont="1" applyFill="1" applyBorder="1" applyAlignment="1">
      <alignment horizontal="center" vertical="center"/>
    </xf>
    <xf fontId="1" fillId="0" borderId="27" numFmtId="162" xfId="0" applyNumberFormat="1" applyFont="1" applyBorder="1" applyAlignment="1">
      <alignment horizontal="center" vertical="center" wrapText="1"/>
    </xf>
    <xf fontId="1" fillId="3" borderId="28" numFmtId="0" xfId="0" applyFont="1" applyFill="1" applyBorder="1" applyAlignment="1">
      <alignment horizontal="center" vertical="center" wrapText="1"/>
    </xf>
    <xf fontId="1" fillId="3" borderId="29" numFmtId="0" xfId="0" applyFont="1" applyFill="1" applyBorder="1" applyAlignment="1">
      <alignment horizontal="center" vertical="center" wrapText="1"/>
    </xf>
    <xf fontId="1" fillId="3" borderId="30" numFmtId="0" xfId="0" applyFont="1" applyFill="1" applyBorder="1" applyAlignment="1">
      <alignment horizontal="center" vertical="center" wrapText="1"/>
    </xf>
    <xf fontId="1" fillId="0" borderId="3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2" numFmtId="0" xfId="0" applyFont="1" applyBorder="1"/>
    <xf fontId="1" fillId="0" borderId="25" numFmtId="164" xfId="1" applyNumberFormat="1" applyFont="1" applyBorder="1" applyAlignment="1">
      <alignment horizontal="center" vertical="center"/>
    </xf>
    <xf fontId="1" fillId="0" borderId="32" numFmtId="0" xfId="0" applyFont="1" applyBorder="1" applyAlignment="1">
      <alignment horizontal="center" vertical="center"/>
    </xf>
    <xf fontId="1" fillId="0" borderId="20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/>
    </xf>
    <xf fontId="1" fillId="0" borderId="26" numFmtId="164" xfId="1" applyNumberFormat="1" applyFont="1" applyBorder="1" applyAlignment="1">
      <alignment horizontal="center" vertical="center"/>
    </xf>
    <xf fontId="1" fillId="0" borderId="3" numFmtId="49" xfId="0" applyNumberFormat="1" applyFont="1" applyBorder="1" applyAlignment="1">
      <alignment horizontal="center" vertical="center" wrapText="1"/>
    </xf>
    <xf fontId="1" fillId="0" borderId="4" numFmtId="0" xfId="0" applyFont="1" applyBorder="1"/>
    <xf fontId="1" fillId="0" borderId="27" numFmtId="164" xfId="1" applyNumberFormat="1" applyFont="1" applyBorder="1" applyAlignment="1">
      <alignment horizontal="center" vertical="center"/>
    </xf>
    <xf fontId="1" fillId="0" borderId="33" numFmtId="16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16</xdr:row>
      <xdr:rowOff>0</xdr:rowOff>
    </xdr:from>
    <xdr:to>
      <xdr:col>5</xdr:col>
      <xdr:colOff>1681025</xdr:colOff>
      <xdr:row>16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16</xdr:row>
      <xdr:rowOff>89647</xdr:rowOff>
    </xdr:from>
    <xdr:to>
      <xdr:col>5</xdr:col>
      <xdr:colOff>1171163</xdr:colOff>
      <xdr:row>16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17</xdr:row>
      <xdr:rowOff>45945</xdr:rowOff>
    </xdr:from>
    <xdr:to>
      <xdr:col>5</xdr:col>
      <xdr:colOff>1314720</xdr:colOff>
      <xdr:row>18</xdr:row>
      <xdr:rowOff>7288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519545</xdr:colOff>
      <xdr:row>2</xdr:row>
      <xdr:rowOff>294409</xdr:rowOff>
    </xdr:from>
    <xdr:to>
      <xdr:col>9</xdr:col>
      <xdr:colOff>0</xdr:colOff>
      <xdr:row>2</xdr:row>
      <xdr:rowOff>3624611</xdr:rowOff>
    </xdr:to>
    <xdr:pic>
      <xdr:nvPicPr>
        <xdr:cNvPr id="119" name="Рисунок 118"/>
        <xdr:cNvPicPr>
          <a:picLocks noChangeAspect="1"/>
        </xdr:cNvPicPr>
      </xdr:nvPicPr>
      <xdr:blipFill>
        <a:blip r:embed="rId3"/>
        <a:srcRect l="7577" t="10922" r="9918" b="12433"/>
        <a:stretch/>
      </xdr:blipFill>
      <xdr:spPr bwMode="auto">
        <a:xfrm>
          <a:off x="5663044" y="744682"/>
          <a:ext cx="3584864" cy="3330202"/>
        </a:xfrm>
        <a:prstGeom prst="rect">
          <a:avLst/>
        </a:prstGeom>
      </xdr:spPr>
    </xdr:pic>
    <xdr:clientData/>
  </xdr:twoCellAnchor>
  <xdr:twoCellAnchor editAs="oneCell">
    <xdr:from>
      <xdr:col>10</xdr:col>
      <xdr:colOff>1114238</xdr:colOff>
      <xdr:row>6</xdr:row>
      <xdr:rowOff>0</xdr:rowOff>
    </xdr:from>
    <xdr:to>
      <xdr:col>11</xdr:col>
      <xdr:colOff>11920</xdr:colOff>
      <xdr:row>6</xdr:row>
      <xdr:rowOff>619527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329047</xdr:colOff>
      <xdr:row>2</xdr:row>
      <xdr:rowOff>225136</xdr:rowOff>
    </xdr:from>
    <xdr:to>
      <xdr:col>4</xdr:col>
      <xdr:colOff>536864</xdr:colOff>
      <xdr:row>2</xdr:row>
      <xdr:rowOff>3902830</xdr:rowOff>
    </xdr:to>
    <xdr:pic>
      <xdr:nvPicPr>
        <xdr:cNvPr id="2" name="Рисунок 1"/>
        <xdr:cNvPicPr>
          <a:picLocks noChangeAspect="1"/>
        </xdr:cNvPicPr>
      </xdr:nvPicPr>
      <xdr:blipFill>
        <a:blip r:embed="rId5"/>
        <a:srcRect l="22619" t="16416" r="26930" b="17557"/>
        <a:stretch/>
      </xdr:blipFill>
      <xdr:spPr bwMode="auto">
        <a:xfrm>
          <a:off x="329047" y="675409"/>
          <a:ext cx="4571999" cy="3677695"/>
        </a:xfrm>
        <a:prstGeom prst="rect">
          <a:avLst/>
        </a:prstGeom>
      </xdr:spPr>
    </xdr:pic>
    <xdr:clientData/>
  </xdr:twoCellAnchor>
  <xdr:twoCellAnchor editAs="twoCell">
    <xdr:from>
      <xdr:col>5</xdr:col>
      <xdr:colOff>137004</xdr:colOff>
      <xdr:row>8</xdr:row>
      <xdr:rowOff>121228</xdr:rowOff>
    </xdr:from>
    <xdr:to>
      <xdr:col>5</xdr:col>
      <xdr:colOff>1562149</xdr:colOff>
      <xdr:row>8</xdr:row>
      <xdr:rowOff>725436</xdr:rowOff>
    </xdr:to>
    <xdr:pic>
      <xdr:nvPicPr>
        <xdr:cNvPr id="32" name="Picture 9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5280504" y="7100455"/>
          <a:ext cx="1425145" cy="6042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78295</xdr:colOff>
      <xdr:row>9</xdr:row>
      <xdr:rowOff>190500</xdr:rowOff>
    </xdr:from>
    <xdr:to>
      <xdr:col>5</xdr:col>
      <xdr:colOff>1594479</xdr:colOff>
      <xdr:row>9</xdr:row>
      <xdr:rowOff>831635</xdr:rowOff>
    </xdr:to>
    <xdr:pic>
      <xdr:nvPicPr>
        <xdr:cNvPr id="35" name="Picture 9"/>
        <xdr:cNvPicPr>
          <a:picLocks noChangeAspect="1" noChangeArrowheads="1"/>
        </xdr:cNvPicPr>
      </xdr:nvPicPr>
      <xdr:blipFill>
        <a:blip r:embed="rId7"/>
        <a:stretch/>
      </xdr:blipFill>
      <xdr:spPr bwMode="auto">
        <a:xfrm>
          <a:off x="5221795" y="8052955"/>
          <a:ext cx="1516184" cy="641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163323</xdr:colOff>
      <xdr:row>10</xdr:row>
      <xdr:rowOff>103909</xdr:rowOff>
    </xdr:from>
    <xdr:to>
      <xdr:col>5</xdr:col>
      <xdr:colOff>1523464</xdr:colOff>
      <xdr:row>10</xdr:row>
      <xdr:rowOff>692727</xdr:rowOff>
    </xdr:to>
    <xdr:pic>
      <xdr:nvPicPr>
        <xdr:cNvPr id="37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306823" y="8849591"/>
          <a:ext cx="1360142" cy="5888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69272</xdr:colOff>
      <xdr:row>11</xdr:row>
      <xdr:rowOff>119116</xdr:rowOff>
    </xdr:from>
    <xdr:to>
      <xdr:col>5</xdr:col>
      <xdr:colOff>1661501</xdr:colOff>
      <xdr:row>11</xdr:row>
      <xdr:rowOff>710046</xdr:rowOff>
    </xdr:to>
    <xdr:pic>
      <xdr:nvPicPr>
        <xdr:cNvPr id="39" name="Picture 9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5212772" y="9748025"/>
          <a:ext cx="1592229" cy="590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398318</xdr:colOff>
      <xdr:row>12</xdr:row>
      <xdr:rowOff>86591</xdr:rowOff>
    </xdr:from>
    <xdr:to>
      <xdr:col>5</xdr:col>
      <xdr:colOff>1209058</xdr:colOff>
      <xdr:row>12</xdr:row>
      <xdr:rowOff>1160318</xdr:rowOff>
    </xdr:to>
    <xdr:pic>
      <xdr:nvPicPr>
        <xdr:cNvPr id="18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541818" y="11464635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435428</xdr:colOff>
      <xdr:row>14</xdr:row>
      <xdr:rowOff>122566</xdr:rowOff>
    </xdr:from>
    <xdr:to>
      <xdr:col>5</xdr:col>
      <xdr:colOff>1246167</xdr:colOff>
      <xdr:row>14</xdr:row>
      <xdr:rowOff>1058883</xdr:rowOff>
    </xdr:to>
    <xdr:pic>
      <xdr:nvPicPr>
        <xdr:cNvPr id="19" name="Picture 9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5578928" y="11916248"/>
          <a:ext cx="810740" cy="9363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398318</xdr:colOff>
      <xdr:row>13</xdr:row>
      <xdr:rowOff>86591</xdr:rowOff>
    </xdr:from>
    <xdr:to>
      <xdr:col>5</xdr:col>
      <xdr:colOff>1209058</xdr:colOff>
      <xdr:row>13</xdr:row>
      <xdr:rowOff>1160318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541818" y="10598727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421821</xdr:colOff>
      <xdr:row>18</xdr:row>
      <xdr:rowOff>43742</xdr:rowOff>
    </xdr:from>
    <xdr:to>
      <xdr:col>5</xdr:col>
      <xdr:colOff>1445480</xdr:colOff>
      <xdr:row>18</xdr:row>
      <xdr:rowOff>813955</xdr:rowOff>
    </xdr:to>
    <xdr:pic>
      <xdr:nvPicPr>
        <xdr:cNvPr id="22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12">
          <a:grayscl/>
        </a:blip>
        <a:srcRect l="0" t="8989" r="0" b="8989"/>
        <a:stretch/>
      </xdr:blipFill>
      <xdr:spPr bwMode="auto">
        <a:xfrm>
          <a:off x="5565322" y="16236242"/>
          <a:ext cx="1023658" cy="770213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55" workbookViewId="0">
      <selection activeCell="D23" activeCellId="0" sqref="D23"/>
    </sheetView>
  </sheetViews>
  <sheetFormatPr defaultRowHeight="14.25"/>
  <cols>
    <col customWidth="1" hidden="1" min="1" max="1" style="1" width="6.28515625"/>
    <col customWidth="1" min="2" max="2" style="2" width="7.7109375"/>
    <col customWidth="1" min="3" max="3" style="1" width="16.28515625"/>
    <col customWidth="1" min="4" max="4" style="3" width="41.28515625"/>
    <col customWidth="1" min="5" max="5" style="4" width="11.7109375"/>
    <col customWidth="1" min="6" max="6" style="1" width="26.7109375"/>
    <col customWidth="1" min="7" max="7" style="1" width="12.85546875"/>
    <col customWidth="1" min="8" max="8" style="1" width="10.140625"/>
    <col customWidth="1" min="9" max="10" style="1" width="11.7109375"/>
    <col customWidth="1" min="11" max="11" style="5" width="12.28515625"/>
    <col customWidth="1" min="12" max="12" style="1" width="10.140625"/>
    <col customWidth="1" min="13" max="13" width="26.140625"/>
    <col customWidth="1" min="14" max="14" style="1" width="18"/>
    <col customWidth="1" min="15" max="15" style="1" width="6.5703125"/>
    <col customWidth="1" min="16" max="16" style="1" width="14.140625"/>
    <col customWidth="1" min="17" max="17" style="1" width="7.28515625"/>
    <col min="18" max="16384" style="1" width="9.140625"/>
  </cols>
  <sheetData>
    <row r="1" ht="16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18.75" customHeight="1">
      <c r="A2" s="8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</row>
    <row r="3" ht="321.75" customHeight="1">
      <c r="A3" s="4"/>
      <c r="B3" s="10"/>
      <c r="C3" s="4"/>
      <c r="D3" s="4"/>
      <c r="E3" s="4"/>
      <c r="F3" s="4"/>
      <c r="G3" s="4"/>
      <c r="H3" s="4"/>
      <c r="I3" s="4"/>
      <c r="J3" s="4"/>
      <c r="K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6" t="s">
        <v>8</v>
      </c>
      <c r="I4" s="16" t="s">
        <v>9</v>
      </c>
      <c r="J4" s="16" t="s">
        <v>10</v>
      </c>
      <c r="K4" s="17" t="s">
        <v>11</v>
      </c>
      <c r="L4" s="18" t="s">
        <v>12</v>
      </c>
      <c r="M4" s="19" t="s">
        <v>13</v>
      </c>
      <c r="N4" s="20" t="s">
        <v>14</v>
      </c>
      <c r="O4" s="18" t="s">
        <v>15</v>
      </c>
      <c r="P4" s="18" t="s">
        <v>16</v>
      </c>
      <c r="Q4" s="18" t="s">
        <v>17</v>
      </c>
    </row>
    <row r="5" ht="16.5">
      <c r="A5" s="21"/>
      <c r="B5" s="22" t="s">
        <v>18</v>
      </c>
      <c r="C5" s="23"/>
      <c r="D5" s="23"/>
      <c r="E5" s="23"/>
      <c r="F5" s="23"/>
      <c r="G5" s="23"/>
      <c r="H5" s="23"/>
      <c r="I5" s="23"/>
      <c r="J5" s="23"/>
      <c r="K5" s="24"/>
      <c r="L5" s="25"/>
      <c r="M5" s="26"/>
      <c r="N5" s="27"/>
      <c r="O5" s="28"/>
      <c r="P5" s="28"/>
      <c r="Q5" s="28"/>
    </row>
    <row r="6" s="29" customFormat="1" ht="34.5" customHeight="1">
      <c r="A6" s="30"/>
      <c r="B6" s="31">
        <v>1</v>
      </c>
      <c r="C6" s="32" t="s">
        <v>19</v>
      </c>
      <c r="D6" s="18" t="s">
        <v>20</v>
      </c>
      <c r="E6" s="33">
        <v>8</v>
      </c>
      <c r="F6" s="33"/>
      <c r="G6" s="34">
        <v>8014</v>
      </c>
      <c r="H6" s="33">
        <v>0.34999999999999998</v>
      </c>
      <c r="I6" s="33">
        <v>0.10000000000000001</v>
      </c>
      <c r="J6" s="33">
        <v>0.10000000000000001</v>
      </c>
      <c r="K6" s="35">
        <f t="shared" ref="K6:K12" si="0">H6*I6*J6</f>
        <v>0.0034999999999999996</v>
      </c>
      <c r="L6" s="25">
        <f t="shared" ref="L6:L12" si="1">K6*E6</f>
        <v>0.027999999999999997</v>
      </c>
      <c r="M6" s="26"/>
      <c r="N6" s="20"/>
      <c r="O6" s="18"/>
      <c r="P6" s="18"/>
      <c r="Q6" s="18"/>
    </row>
    <row r="7" s="29" customFormat="1" ht="56.25" customHeight="1">
      <c r="A7" s="36"/>
      <c r="B7" s="37">
        <v>2</v>
      </c>
      <c r="C7" s="38" t="s">
        <v>21</v>
      </c>
      <c r="D7" s="38" t="s">
        <v>22</v>
      </c>
      <c r="E7" s="38">
        <v>8</v>
      </c>
      <c r="F7" s="38"/>
      <c r="G7" s="39">
        <v>7047</v>
      </c>
      <c r="H7" s="38">
        <v>0.074999999999999997</v>
      </c>
      <c r="I7" s="38">
        <v>0.074999999999999997</v>
      </c>
      <c r="J7" s="38">
        <v>0.26000000000000001</v>
      </c>
      <c r="K7" s="40">
        <f t="shared" si="0"/>
        <v>0.0014625</v>
      </c>
      <c r="L7" s="41">
        <f t="shared" si="1"/>
        <v>0.0117</v>
      </c>
      <c r="M7" s="42" t="s">
        <v>23</v>
      </c>
      <c r="N7" s="18">
        <v>4</v>
      </c>
      <c r="O7" s="18">
        <f t="shared" ref="O7:O19" si="2">N7*E7</f>
        <v>32</v>
      </c>
      <c r="P7" s="18"/>
      <c r="Q7" s="18">
        <f t="shared" ref="Q7:Q19" si="3">P7*E7</f>
        <v>0</v>
      </c>
    </row>
    <row r="8" ht="16.5">
      <c r="A8" s="43"/>
      <c r="B8" s="44" t="s">
        <v>24</v>
      </c>
      <c r="C8" s="45"/>
      <c r="D8" s="45"/>
      <c r="E8" s="45"/>
      <c r="F8" s="45"/>
      <c r="G8" s="45"/>
      <c r="H8" s="45"/>
      <c r="I8" s="45"/>
      <c r="J8" s="45"/>
      <c r="K8" s="46"/>
      <c r="L8" s="25"/>
      <c r="M8" s="26"/>
      <c r="N8" s="27"/>
      <c r="O8" s="18">
        <f t="shared" si="2"/>
        <v>0</v>
      </c>
      <c r="P8" s="28"/>
      <c r="Q8" s="18">
        <f t="shared" si="3"/>
        <v>0</v>
      </c>
    </row>
    <row r="9" s="29" customFormat="1" ht="69.75" customHeight="1">
      <c r="A9" s="47"/>
      <c r="B9" s="48">
        <v>3</v>
      </c>
      <c r="C9" s="49" t="s">
        <v>25</v>
      </c>
      <c r="D9" s="48" t="s">
        <v>26</v>
      </c>
      <c r="E9" s="48">
        <v>4</v>
      </c>
      <c r="F9" s="48"/>
      <c r="G9" s="50">
        <v>6018</v>
      </c>
      <c r="H9" s="48">
        <v>0.80000000000000004</v>
      </c>
      <c r="I9" s="48">
        <v>0.29999999999999999</v>
      </c>
      <c r="J9" s="48">
        <v>0.021000000000000001</v>
      </c>
      <c r="K9" s="51">
        <f t="shared" si="0"/>
        <v>0.0050400000000000002</v>
      </c>
      <c r="L9" s="52">
        <f t="shared" si="1"/>
        <v>0.020160000000000001</v>
      </c>
      <c r="M9" s="42" t="s">
        <v>27</v>
      </c>
      <c r="N9" s="53">
        <v>4</v>
      </c>
      <c r="O9" s="18">
        <f t="shared" si="2"/>
        <v>16</v>
      </c>
      <c r="P9" s="18"/>
      <c r="Q9" s="18">
        <f t="shared" si="3"/>
        <v>0</v>
      </c>
    </row>
    <row r="10" s="29" customFormat="1" ht="69.75" customHeight="1">
      <c r="A10" s="54"/>
      <c r="B10" s="18">
        <v>4</v>
      </c>
      <c r="C10" s="55" t="s">
        <v>28</v>
      </c>
      <c r="D10" s="18" t="s">
        <v>29</v>
      </c>
      <c r="E10" s="18">
        <v>4</v>
      </c>
      <c r="F10" s="18"/>
      <c r="G10" s="56">
        <v>2008</v>
      </c>
      <c r="H10" s="18">
        <v>0.87</v>
      </c>
      <c r="I10" s="18">
        <v>0.29999999999999999</v>
      </c>
      <c r="J10" s="18">
        <v>0.021000000000000001</v>
      </c>
      <c r="K10" s="57">
        <f t="shared" si="0"/>
        <v>0.0054810000000000006</v>
      </c>
      <c r="L10" s="52">
        <f t="shared" si="1"/>
        <v>0.021924000000000003</v>
      </c>
      <c r="M10" s="42"/>
      <c r="N10" s="20"/>
      <c r="O10" s="18">
        <f t="shared" si="2"/>
        <v>0</v>
      </c>
      <c r="P10" s="18"/>
      <c r="Q10" s="18">
        <f t="shared" si="3"/>
        <v>0</v>
      </c>
    </row>
    <row r="11" s="29" customFormat="1" ht="69.75" customHeight="1">
      <c r="A11" s="54"/>
      <c r="B11" s="18">
        <v>5</v>
      </c>
      <c r="C11" s="49" t="s">
        <v>30</v>
      </c>
      <c r="D11" s="58" t="s">
        <v>31</v>
      </c>
      <c r="E11" s="18">
        <v>4</v>
      </c>
      <c r="F11" s="18"/>
      <c r="G11" s="56">
        <v>2008</v>
      </c>
      <c r="H11" s="18">
        <v>0.80000000000000004</v>
      </c>
      <c r="I11" s="18">
        <v>0.22</v>
      </c>
      <c r="J11" s="18">
        <v>0.021000000000000001</v>
      </c>
      <c r="K11" s="57">
        <f t="shared" si="0"/>
        <v>0.0036960000000000005</v>
      </c>
      <c r="L11" s="52">
        <f t="shared" si="1"/>
        <v>0.014784000000000002</v>
      </c>
      <c r="M11" s="42"/>
      <c r="N11" s="20"/>
      <c r="O11" s="18">
        <f t="shared" si="2"/>
        <v>0</v>
      </c>
      <c r="P11" s="18"/>
      <c r="Q11" s="18">
        <f t="shared" si="3"/>
        <v>0</v>
      </c>
    </row>
    <row r="12" s="29" customFormat="1" ht="69.75" customHeight="1">
      <c r="A12" s="54"/>
      <c r="B12" s="18">
        <v>6</v>
      </c>
      <c r="C12" s="55" t="s">
        <v>32</v>
      </c>
      <c r="D12" s="58" t="s">
        <v>33</v>
      </c>
      <c r="E12" s="18">
        <v>1</v>
      </c>
      <c r="F12" s="18"/>
      <c r="G12" s="59">
        <v>6018</v>
      </c>
      <c r="H12" s="18">
        <v>0.996</v>
      </c>
      <c r="I12" s="18">
        <v>0.20399999999999999</v>
      </c>
      <c r="J12" s="18">
        <v>0.021000000000000001</v>
      </c>
      <c r="K12" s="57">
        <f t="shared" si="0"/>
        <v>0.0042668639999999996</v>
      </c>
      <c r="L12" s="52">
        <f t="shared" si="1"/>
        <v>0.0042668639999999996</v>
      </c>
      <c r="M12" s="42"/>
      <c r="N12" s="20"/>
      <c r="O12" s="18">
        <f t="shared" si="2"/>
        <v>0</v>
      </c>
      <c r="P12" s="18"/>
      <c r="Q12" s="18">
        <f t="shared" si="3"/>
        <v>0</v>
      </c>
    </row>
    <row r="13" s="29" customFormat="1" ht="100.5" customHeight="1">
      <c r="A13" s="54"/>
      <c r="B13" s="18">
        <v>7</v>
      </c>
      <c r="C13" s="32" t="s">
        <v>34</v>
      </c>
      <c r="D13" s="32" t="s">
        <v>35</v>
      </c>
      <c r="E13" s="18">
        <v>8</v>
      </c>
      <c r="F13" s="18"/>
      <c r="G13" s="60">
        <v>7047</v>
      </c>
      <c r="H13" s="37">
        <v>0.062</v>
      </c>
      <c r="I13" s="37">
        <v>0.062</v>
      </c>
      <c r="J13" s="37">
        <v>0.040000000000000001</v>
      </c>
      <c r="K13" s="61">
        <v>0.0001</v>
      </c>
      <c r="L13" s="52">
        <f t="shared" ref="L13:L19" si="4">K13*E13</f>
        <v>0.00080000000000000004</v>
      </c>
      <c r="M13" s="62" t="s">
        <v>36</v>
      </c>
      <c r="N13" s="20">
        <v>1</v>
      </c>
      <c r="O13" s="18">
        <f t="shared" ref="O13:O15" si="5">N13*E13</f>
        <v>8</v>
      </c>
      <c r="P13" s="18">
        <v>1</v>
      </c>
      <c r="Q13" s="18">
        <f t="shared" ref="Q13:Q15" si="6">P13*E13</f>
        <v>8</v>
      </c>
    </row>
    <row r="14" s="29" customFormat="1" ht="100.5" customHeight="1">
      <c r="A14" s="54"/>
      <c r="B14" s="18">
        <v>8</v>
      </c>
      <c r="C14" s="32" t="s">
        <v>34</v>
      </c>
      <c r="D14" s="32" t="s">
        <v>37</v>
      </c>
      <c r="E14" s="18">
        <v>20</v>
      </c>
      <c r="F14" s="18"/>
      <c r="G14" s="60">
        <v>7047</v>
      </c>
      <c r="H14" s="37">
        <v>0.062</v>
      </c>
      <c r="I14" s="37">
        <v>0.062</v>
      </c>
      <c r="J14" s="37">
        <v>0.040000000000000001</v>
      </c>
      <c r="K14" s="61">
        <v>0.0001</v>
      </c>
      <c r="L14" s="52">
        <f t="shared" si="4"/>
        <v>0.002</v>
      </c>
      <c r="M14" s="62" t="s">
        <v>38</v>
      </c>
      <c r="N14" s="20"/>
      <c r="O14" s="18">
        <f t="shared" si="5"/>
        <v>0</v>
      </c>
      <c r="P14" s="18">
        <v>2</v>
      </c>
      <c r="Q14" s="18">
        <f t="shared" si="6"/>
        <v>40</v>
      </c>
    </row>
    <row r="15" s="29" customFormat="1" ht="92.25" customHeight="1">
      <c r="A15" s="63"/>
      <c r="B15" s="64">
        <v>9</v>
      </c>
      <c r="C15" s="65" t="s">
        <v>39</v>
      </c>
      <c r="D15" s="65" t="s">
        <v>40</v>
      </c>
      <c r="E15" s="64">
        <v>16</v>
      </c>
      <c r="F15" s="64"/>
      <c r="G15" s="66">
        <v>7047</v>
      </c>
      <c r="H15" s="64">
        <v>0.062</v>
      </c>
      <c r="I15" s="64">
        <v>0.062</v>
      </c>
      <c r="J15" s="64">
        <v>0.040000000000000001</v>
      </c>
      <c r="K15" s="67">
        <f>H15*I15*J15</f>
        <v>0.00015375999999999999</v>
      </c>
      <c r="L15" s="52">
        <f t="shared" si="4"/>
        <v>0.0024601599999999999</v>
      </c>
      <c r="M15" s="62" t="s">
        <v>36</v>
      </c>
      <c r="N15" s="18">
        <v>1</v>
      </c>
      <c r="O15" s="18">
        <f t="shared" si="5"/>
        <v>16</v>
      </c>
      <c r="P15" s="18">
        <v>1</v>
      </c>
      <c r="Q15" s="18">
        <f t="shared" si="6"/>
        <v>16</v>
      </c>
    </row>
    <row r="16" s="29" customFormat="1" ht="27.75" customHeight="1">
      <c r="A16" s="43"/>
      <c r="B16" s="68" t="s">
        <v>41</v>
      </c>
      <c r="C16" s="69"/>
      <c r="D16" s="69"/>
      <c r="E16" s="69"/>
      <c r="F16" s="69"/>
      <c r="G16" s="69"/>
      <c r="H16" s="69"/>
      <c r="I16" s="69"/>
      <c r="J16" s="69"/>
      <c r="K16" s="70"/>
      <c r="L16" s="25"/>
      <c r="M16" s="26"/>
      <c r="N16" s="20"/>
      <c r="O16" s="18">
        <f t="shared" si="2"/>
        <v>0</v>
      </c>
      <c r="P16" s="18"/>
      <c r="Q16" s="18">
        <f t="shared" si="3"/>
        <v>0</v>
      </c>
    </row>
    <row r="17" ht="58.5" customHeight="1">
      <c r="A17" s="71"/>
      <c r="B17" s="72">
        <v>10</v>
      </c>
      <c r="C17" s="73" t="s">
        <v>42</v>
      </c>
      <c r="D17" s="73" t="s">
        <v>43</v>
      </c>
      <c r="E17" s="74">
        <v>64</v>
      </c>
      <c r="F17" s="75"/>
      <c r="G17" s="74" t="s">
        <v>44</v>
      </c>
      <c r="H17" s="74">
        <v>0.027</v>
      </c>
      <c r="I17" s="74">
        <v>0.027</v>
      </c>
      <c r="J17" s="74">
        <v>0.016</v>
      </c>
      <c r="K17" s="76">
        <f t="shared" ref="K17:K19" si="7">H17*I17*J17</f>
        <v>1.1663999999999999e-05</v>
      </c>
      <c r="L17" s="52">
        <f t="shared" si="4"/>
        <v>0.00074649599999999992</v>
      </c>
      <c r="M17" s="26"/>
      <c r="N17" s="27"/>
      <c r="O17" s="18">
        <f t="shared" si="2"/>
        <v>0</v>
      </c>
      <c r="P17" s="28"/>
      <c r="Q17" s="18">
        <f t="shared" si="3"/>
        <v>0</v>
      </c>
    </row>
    <row r="18" ht="66.75" customHeight="1">
      <c r="A18" s="77"/>
      <c r="B18" s="78">
        <v>11</v>
      </c>
      <c r="C18" s="73" t="s">
        <v>42</v>
      </c>
      <c r="D18" s="32" t="s">
        <v>45</v>
      </c>
      <c r="E18" s="79">
        <v>88</v>
      </c>
      <c r="F18" s="28"/>
      <c r="G18" s="79" t="s">
        <v>44</v>
      </c>
      <c r="H18" s="79">
        <v>0.035999999999999997</v>
      </c>
      <c r="I18" s="79">
        <v>0.035999999999999997</v>
      </c>
      <c r="J18" s="79">
        <v>0.023</v>
      </c>
      <c r="K18" s="80">
        <f t="shared" si="7"/>
        <v>2.9807999999999996e-05</v>
      </c>
      <c r="L18" s="52">
        <f t="shared" si="4"/>
        <v>0.0026231039999999998</v>
      </c>
      <c r="M18" s="26"/>
      <c r="N18" s="27"/>
      <c r="O18" s="18">
        <f t="shared" si="2"/>
        <v>0</v>
      </c>
      <c r="P18" s="28"/>
      <c r="Q18" s="18">
        <f t="shared" si="3"/>
        <v>0</v>
      </c>
    </row>
    <row r="19" ht="66.75" customHeight="1">
      <c r="A19" s="77"/>
      <c r="B19" s="81" t="s">
        <v>46</v>
      </c>
      <c r="C19" s="65" t="s">
        <v>47</v>
      </c>
      <c r="D19" s="65" t="s">
        <v>48</v>
      </c>
      <c r="E19" s="65">
        <v>8</v>
      </c>
      <c r="F19" s="82"/>
      <c r="G19" s="82"/>
      <c r="H19" s="65">
        <v>0.10000000000000001</v>
      </c>
      <c r="I19" s="65">
        <v>0.10000000000000001</v>
      </c>
      <c r="J19" s="65">
        <v>0.043999999999999997</v>
      </c>
      <c r="K19" s="83">
        <f t="shared" si="7"/>
        <v>0.00044000000000000007</v>
      </c>
      <c r="L19" s="84">
        <f t="shared" si="4"/>
        <v>0.0035200000000000006</v>
      </c>
      <c r="M19" s="62"/>
      <c r="N19" s="28"/>
      <c r="O19" s="18">
        <f t="shared" si="2"/>
        <v>0</v>
      </c>
      <c r="P19" s="28"/>
      <c r="Q19" s="18">
        <f t="shared" si="3"/>
        <v>0</v>
      </c>
    </row>
    <row r="20" ht="16.5">
      <c r="O20" s="1">
        <f>SUM(O7:O19)</f>
        <v>72</v>
      </c>
      <c r="Q20" s="1">
        <f>SUM(Q7:Q19)</f>
        <v>64</v>
      </c>
    </row>
  </sheetData>
  <mergeCells count="6">
    <mergeCell ref="A1:K1"/>
    <mergeCell ref="B2:K2"/>
    <mergeCell ref="B3:K3"/>
    <mergeCell ref="B5:K5"/>
    <mergeCell ref="B8:K8"/>
    <mergeCell ref="B16:K1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7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2024-06-04T10:15:29Z</dcterms:modified>
</cp:coreProperties>
</file>