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emf" ContentType="image/x-emf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<sst xmlns="http://schemas.openxmlformats.org/spreadsheetml/2006/main" count="127" uniqueCount="127">
  <si>
    <t>ПСР-1.20</t>
  </si>
  <si>
    <t xml:space="preserve">Размер  5,15 х 4,2 х 2,35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</si>
  <si>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</si>
  <si>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</si>
  <si>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</si>
  <si>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</si>
  <si>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</si>
  <si>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</si>
  <si>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</si>
  <si>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</si>
  <si>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</si>
  <si>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</si>
  <si>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 xml:space="preserve">Объем всего</t>
  </si>
  <si>
    <t xml:space="preserve">Метизы крепления на 1 комплектующую</t>
  </si>
  <si>
    <t xml:space="preserve">Заглушка м8-10 (крепеж к столбу) (на 1 комплектующую)</t>
  </si>
  <si>
    <t xml:space="preserve">всего м8-10</t>
  </si>
  <si>
    <t xml:space="preserve">Заглушка м6 (крепеж фанеры между собой)</t>
  </si>
  <si>
    <t xml:space="preserve">всего м6</t>
  </si>
  <si>
    <t>СТОЛБЫ</t>
  </si>
  <si>
    <t>0037ДБ</t>
  </si>
  <si>
    <t xml:space="preserve">Столб (брус 100х100)  150 мм</t>
  </si>
  <si>
    <t>0053ДБ</t>
  </si>
  <si>
    <t xml:space="preserve">Столб (брус 100х100) 400 мм</t>
  </si>
  <si>
    <t>0055ДБ</t>
  </si>
  <si>
    <t xml:space="preserve">Столб (брус 100х100) 900 мм</t>
  </si>
  <si>
    <t>0007ДБ</t>
  </si>
  <si>
    <t xml:space="preserve">Столб (брус 100х100)  1700 мм</t>
  </si>
  <si>
    <t>0005ДБ</t>
  </si>
  <si>
    <t xml:space="preserve">Столб (брус 100х100)  2000 мм</t>
  </si>
  <si>
    <t>0078МП</t>
  </si>
  <si>
    <t xml:space="preserve">Закладная торцевая 100х100</t>
  </si>
  <si>
    <t xml:space="preserve">Шуруп (глухарь) 8х50 - 4 шт.                         Шайба м8 увел. - 4шт.                         </t>
  </si>
  <si>
    <t>0013МП</t>
  </si>
  <si>
    <t xml:space="preserve">Закладная для столба 100х100 </t>
  </si>
  <si>
    <t>ПЛОЩАДКИ</t>
  </si>
  <si>
    <t>0003СБ</t>
  </si>
  <si>
    <t xml:space="preserve">Площадка квадратная 800х800 мм (СБ)</t>
  </si>
  <si>
    <t>противоскользящая</t>
  </si>
  <si>
    <t xml:space="preserve">Болт мебельный М8х180 - 4 шт.                                   Шайба м8 увел.- 4 шт.                                 Гайка м8 - 4 шт</t>
  </si>
  <si>
    <t>0012СБ</t>
  </si>
  <si>
    <t xml:space="preserve">ЛЕСТНИЦА НА ВЫСОТУ 600 (СБ)</t>
  </si>
  <si>
    <t>9</t>
  </si>
  <si>
    <t>000208</t>
  </si>
  <si>
    <t xml:space="preserve">Тетива лестницы 600
903 x 262 x 21</t>
  </si>
  <si>
    <t xml:space="preserve">Шуруп (глухарь) 8х80 - 4 шт.                         Шайба м8 увел. - 4шт.                         </t>
  </si>
  <si>
    <t>10</t>
  </si>
  <si>
    <t>000023</t>
  </si>
  <si>
    <t xml:space="preserve">Ступень 600х150
600 x 150 x 18</t>
  </si>
  <si>
    <t xml:space="preserve">Саморез по дереву 3.5х35 - 5 шт.</t>
  </si>
  <si>
    <t>11</t>
  </si>
  <si>
    <t>0006ДБ</t>
  </si>
  <si>
    <t xml:space="preserve">Подступенок (доска 35х90х558)</t>
  </si>
  <si>
    <t xml:space="preserve">Шуруп (глухарь) 8х60 - 2 шт.                         Шайба м8 увел. - 2шт.                         </t>
  </si>
  <si>
    <t>12</t>
  </si>
  <si>
    <t>000209</t>
  </si>
  <si>
    <t xml:space="preserve">Перила лестницы 600
827 x 150 x 21</t>
  </si>
  <si>
    <t>13</t>
  </si>
  <si>
    <t xml:space="preserve">03.020.000   КРЫША двухскатная 800х800</t>
  </si>
  <si>
    <t>000103</t>
  </si>
  <si>
    <t xml:space="preserve">Скат крыши двухскатной 800х800 (испр)
950 x 750 x 15 </t>
  </si>
  <si>
    <t>000104</t>
  </si>
  <si>
    <t xml:space="preserve">Фронтон крыши двухскатной (820х640х21)</t>
  </si>
  <si>
    <t xml:space="preserve">Шуруп (глухарь) 8х80 - 4 шт.                         Шайба м8 увел. - 4 шт.                         </t>
  </si>
  <si>
    <t>000033</t>
  </si>
  <si>
    <t xml:space="preserve">Накл. Галка (фронт крыши 800x800)
438 x 349 x 15  </t>
  </si>
  <si>
    <t>0003МП</t>
  </si>
  <si>
    <t xml:space="preserve">Уголок 55х55х40</t>
  </si>
  <si>
    <t xml:space="preserve">Болт мебельный М6х35 - 2 шт.                               Шайба м8 увел. - 2 шт.                    Гайка м6 - 2 шт        </t>
  </si>
  <si>
    <t>ПАНЕЛИ</t>
  </si>
  <si>
    <t>000031</t>
  </si>
  <si>
    <t xml:space="preserve">Панель Галка 800х700
800 x 700 x 21</t>
  </si>
  <si>
    <t>000032</t>
  </si>
  <si>
    <t xml:space="preserve">Накладка панели Галка 800
300 x 50 x 15  </t>
  </si>
  <si>
    <t xml:space="preserve">Накл. Галка (фронт крыши 800x800)
438 x 349 x 15 </t>
  </si>
  <si>
    <t xml:space="preserve">Болт мебельный М6х45 - 3 шт.                               Шайба м8 увел. - 3 шт.                    Гайка м6 - 3 шт        </t>
  </si>
  <si>
    <t>000024</t>
  </si>
  <si>
    <t xml:space="preserve">Панель Волна 800х700
800 x 700 x 21 </t>
  </si>
  <si>
    <t>000025</t>
  </si>
  <si>
    <t xml:space="preserve">Накладка панели Волна 800
550 x 100 x 15  </t>
  </si>
  <si>
    <t xml:space="preserve">Шуруп (глухарь) 8х80 - 2 шт.                         Шайба м8 увел. - 2 шт.                         </t>
  </si>
  <si>
    <t>000109</t>
  </si>
  <si>
    <t xml:space="preserve">Ступенька Грибок
327 x 321 x 18</t>
  </si>
  <si>
    <t>_</t>
  </si>
  <si>
    <t xml:space="preserve">Болт мебельный М6х45 - 1 шт.                               Шайба м8 увел. - 1 шт.          </t>
  </si>
  <si>
    <t>000728</t>
  </si>
  <si>
    <t xml:space="preserve">Панель песочницы конструктор 1.23
750 x 588 x 21</t>
  </si>
  <si>
    <t>001095</t>
  </si>
  <si>
    <t xml:space="preserve">Арка песочницы угол 1.20
947 x 947 x 21</t>
  </si>
  <si>
    <t>000193</t>
  </si>
  <si>
    <t xml:space="preserve">Борт песочн. дв-ка пазл с вырез. 1.10
1500 x 300 x 21 </t>
  </si>
  <si>
    <t>000729</t>
  </si>
  <si>
    <t xml:space="preserve">Борт песочного дворика пазл 1.23
1500 x 300 x 21 </t>
  </si>
  <si>
    <t>000080</t>
  </si>
  <si>
    <t xml:space="preserve">Опора стола домика 1.10
150 x 130 x 15 </t>
  </si>
  <si>
    <t>000195</t>
  </si>
  <si>
    <t xml:space="preserve">Борт верхний пес. дворика 1500
1500 x 190 x 21 </t>
  </si>
  <si>
    <t>000168</t>
  </si>
  <si>
    <t xml:space="preserve">Фиксатор счет двойной (450)
80 x 450 x 21 </t>
  </si>
  <si>
    <t>000041</t>
  </si>
  <si>
    <t xml:space="preserve">Кольцо счет
110 x 110 x 21 </t>
  </si>
  <si>
    <t>разноцветные</t>
  </si>
  <si>
    <t>000106</t>
  </si>
  <si>
    <t xml:space="preserve">Боковина сидушки крепеж к стойке
350 x 338 x 21</t>
  </si>
  <si>
    <t>000105</t>
  </si>
  <si>
    <t xml:space="preserve">Сидушка между стойками 800мм
600 x 250 x 21 </t>
  </si>
  <si>
    <t>МЕТАЛЛ</t>
  </si>
  <si>
    <t>0058МП</t>
  </si>
  <si>
    <t xml:space="preserve">Труба 21x600мм (под счеты)</t>
  </si>
  <si>
    <t>36</t>
  </si>
  <si>
    <t>0084МП</t>
  </si>
  <si>
    <t xml:space="preserve">Поручень горки дуга (570mm)</t>
  </si>
  <si>
    <t>ГОРКИ</t>
  </si>
  <si>
    <t>37</t>
  </si>
  <si>
    <t>0002СБ</t>
  </si>
  <si>
    <t xml:space="preserve">Горка 600х1200 H=600</t>
  </si>
  <si>
    <t>5017/2008</t>
  </si>
  <si>
    <t>ПЛАСТИК</t>
  </si>
  <si>
    <t>38</t>
  </si>
  <si>
    <t>КЧМ6КС</t>
  </si>
  <si>
    <t xml:space="preserve">Заглушка К4М6КС</t>
  </si>
  <si>
    <t>Черный</t>
  </si>
  <si>
    <t>39</t>
  </si>
  <si>
    <t>КЧМ8КС</t>
  </si>
  <si>
    <t xml:space="preserve">Заглушка К4М8КС</t>
  </si>
  <si>
    <t>40</t>
  </si>
  <si>
    <t>100-100.11КК</t>
  </si>
  <si>
    <t xml:space="preserve">Заглушка 100-100.11КК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</si>
</sst>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0" formatCode="_-* #,##0.00\ _₽_-;\-* #,##0.00\ _₽_-;_-* &quot;-&quot;??\ _₽_-;_-@_-"/>
    <numFmt numFmtId="161" formatCode="_-* #,##0.0000\ _₽_-;\-* #,##0.0000\ _₽_-;_-* &quot;-&quot;??\ _₽_-;_-@_-"/>
    <numFmt numFmtId="162" formatCode="0.000"/>
    <numFmt numFmtId="163" formatCode="0.0000"/>
    <numFmt numFmtId="164" formatCode="0.00000"/>
  </numFmts>
  <fonts count="10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sz val="10.000000"/>
      <color theme="1"/>
      <name val="Calibri"/>
      <scheme val="minor"/>
    </font>
    <font>
      <b/>
      <sz val="12.000000"/>
      <color theme="1"/>
      <name val="Calibri"/>
      <scheme val="minor"/>
    </font>
    <font>
      <sz val="12.000000"/>
      <name val="Calibri"/>
      <scheme val="minor"/>
    </font>
    <font>
      <sz val="12.000000"/>
      <color theme="0"/>
      <name val="Calibri"/>
      <scheme val="minor"/>
    </font>
    <font>
      <b/>
      <sz val="12.000000"/>
      <name val="Calibri"/>
      <scheme val="minor"/>
    </font>
    <font>
      <b/>
      <sz val="11.000000"/>
      <name val="Calibri"/>
      <scheme val="minor"/>
    </font>
    <font>
      <sz val="11.000000"/>
      <name val="Calibri"/>
      <scheme val="minor"/>
    </font>
    <font>
      <b/>
      <sz val="10.000000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rgb="FF663300"/>
        <bgColor rgb="FF6633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indexed="2"/>
        <bgColor indexed="2"/>
      </patternFill>
    </fill>
  </fills>
  <borders count="50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150">
    <xf fontId="0" fillId="0" borderId="0" numFmtId="0" xfId="0"/>
    <xf fontId="1" fillId="0" borderId="0" numFmtId="0" xfId="0" applyFont="1" applyAlignment="1">
      <alignment horizontal="center"/>
    </xf>
    <xf fontId="1" fillId="0" borderId="0" numFmtId="0" xfId="0" applyFont="1" applyAlignment="1">
      <alignment horizontal="center" vertical="center"/>
    </xf>
    <xf fontId="1" fillId="0" borderId="0" numFmtId="161" xfId="1" applyNumberFormat="1" applyFont="1" applyAlignment="1">
      <alignment horizontal="center" vertical="center"/>
    </xf>
    <xf fontId="2" fillId="0" borderId="0" numFmtId="0" xfId="0" applyFont="1" applyAlignment="1">
      <alignment horizontal="center"/>
    </xf>
    <xf fontId="3" fillId="2" borderId="1" numFmtId="0" xfId="0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0" borderId="5" numFmtId="0" xfId="0" applyFont="1" applyBorder="1" applyAlignment="1">
      <alignment horizontal="center" vertical="center"/>
    </xf>
    <xf fontId="3" fillId="0" borderId="6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/>
    </xf>
    <xf fontId="1" fillId="0" borderId="8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 wrapText="1"/>
    </xf>
    <xf fontId="1" fillId="0" borderId="10" numFmtId="161" xfId="1" applyNumberFormat="1" applyFont="1" applyBorder="1" applyAlignment="1">
      <alignment horizontal="center" vertical="center" wrapText="1"/>
    </xf>
    <xf fontId="1" fillId="0" borderId="11" numFmtId="0" xfId="0" applyFont="1" applyBorder="1" applyAlignment="1">
      <alignment horizontal="center" vertical="center" wrapText="1"/>
    </xf>
    <xf fontId="2" fillId="0" borderId="12" numFmtId="0" xfId="0" applyFont="1" applyBorder="1" applyAlignment="1">
      <alignment horizontal="center" vertical="center" wrapText="1"/>
    </xf>
    <xf fontId="1" fillId="0" borderId="13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3" fillId="0" borderId="14" numFmtId="0" xfId="0" applyFont="1" applyBorder="1" applyAlignment="1">
      <alignment horizontal="center" vertical="center" wrapText="1"/>
    </xf>
    <xf fontId="1" fillId="0" borderId="15" numFmtId="0" xfId="0" applyFont="1" applyBorder="1" applyAlignment="1">
      <alignment horizontal="center"/>
    </xf>
    <xf fontId="3" fillId="3" borderId="16" numFmtId="0" xfId="0" applyFont="1" applyFill="1" applyBorder="1" applyAlignment="1">
      <alignment horizontal="center" vertical="center"/>
    </xf>
    <xf fontId="3" fillId="3" borderId="17" numFmtId="0" xfId="0" applyFont="1" applyFill="1" applyBorder="1" applyAlignment="1">
      <alignment horizontal="center" vertical="center"/>
    </xf>
    <xf fontId="3" fillId="3" borderId="18" numFmtId="0" xfId="0" applyFont="1" applyFill="1" applyBorder="1" applyAlignment="1">
      <alignment horizontal="center" vertical="center"/>
    </xf>
    <xf fontId="1" fillId="0" borderId="19" numFmtId="0" xfId="0" applyFont="1" applyBorder="1" applyAlignment="1">
      <alignment horizontal="center"/>
    </xf>
    <xf fontId="2" fillId="0" borderId="20" numFmtId="0" xfId="0" applyFont="1" applyBorder="1" applyAlignment="1">
      <alignment horizontal="center"/>
    </xf>
    <xf fontId="1" fillId="0" borderId="21" numFmtId="0" xfId="0" applyFont="1" applyBorder="1" applyAlignment="1">
      <alignment horizontal="center"/>
    </xf>
    <xf fontId="1" fillId="0" borderId="22" numFmtId="0" xfId="0" applyFont="1" applyBorder="1" applyAlignment="1">
      <alignment horizontal="center"/>
    </xf>
    <xf fontId="1" fillId="0" borderId="23" numFmtId="0" xfId="0" applyFont="1" applyBorder="1" applyAlignment="1">
      <alignment horizontal="center"/>
    </xf>
    <xf fontId="1" fillId="0" borderId="0" numFmtId="0" xfId="0" applyFont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1" fillId="0" borderId="24" numFmtId="0" xfId="0" applyFont="1" applyBorder="1" applyAlignment="1">
      <alignment horizontal="center"/>
    </xf>
    <xf fontId="4" fillId="4" borderId="22" numFmtId="0" xfId="0" applyFont="1" applyFill="1" applyBorder="1" applyAlignment="1">
      <alignment horizontal="center" vertical="center" wrapText="1"/>
    </xf>
    <xf fontId="1" fillId="0" borderId="14" numFmtId="162" xfId="0" applyNumberFormat="1" applyFont="1" applyBorder="1" applyAlignment="1">
      <alignment horizontal="center" vertical="center" wrapText="1"/>
    </xf>
    <xf fontId="1" fillId="0" borderId="25" numFmtId="162" xfId="0" applyNumberFormat="1" applyFont="1" applyBorder="1" applyAlignment="1">
      <alignment horizontal="center" vertical="center" wrapText="1"/>
    </xf>
    <xf fontId="2" fillId="0" borderId="20" numFmtId="0" xfId="0" applyFont="1" applyBorder="1" applyAlignment="1">
      <alignment horizontal="center" vertical="center" wrapText="1"/>
    </xf>
    <xf fontId="1" fillId="0" borderId="21" numFmtId="0" xfId="0" applyFont="1" applyBorder="1" applyAlignment="1">
      <alignment horizontal="center" vertical="center" wrapText="1"/>
    </xf>
    <xf fontId="1" fillId="0" borderId="22" numFmtId="0" xfId="0" applyFont="1" applyBorder="1" applyAlignment="1">
      <alignment horizontal="center" vertical="center" wrapText="1"/>
    </xf>
    <xf fontId="1" fillId="0" borderId="23" numFmtId="0" xfId="0" applyFont="1" applyBorder="1" applyAlignment="1">
      <alignment horizontal="center" vertical="center" wrapText="1"/>
    </xf>
    <xf fontId="3" fillId="5" borderId="0" numFmtId="0" xfId="0" applyFont="1" applyFill="1" applyAlignment="1">
      <alignment horizontal="center" textRotation="90" vertical="center" wrapText="1"/>
    </xf>
    <xf fontId="1" fillId="0" borderId="26" numFmtId="0" xfId="0" applyFont="1" applyBorder="1" applyAlignment="1">
      <alignment horizontal="center" vertical="center" wrapText="1"/>
    </xf>
    <xf fontId="4" fillId="0" borderId="22" numFmtId="0" xfId="0" applyFont="1" applyBorder="1" applyAlignment="1">
      <alignment horizontal="center" vertical="center"/>
    </xf>
    <xf fontId="1" fillId="0" borderId="22" numFmtId="0" xfId="0" applyFont="1" applyBorder="1" applyAlignment="1">
      <alignment horizontal="center" vertical="center"/>
    </xf>
    <xf fontId="1" fillId="0" borderId="23" numFmtId="0" xfId="0" applyFont="1" applyBorder="1" applyAlignment="1">
      <alignment horizontal="center" vertical="center"/>
    </xf>
    <xf fontId="1" fillId="0" borderId="23" numFmtId="162" xfId="0" applyNumberFormat="1" applyFont="1" applyBorder="1" applyAlignment="1">
      <alignment horizontal="center" vertical="center" wrapText="1"/>
    </xf>
    <xf fontId="1" fillId="0" borderId="27" numFmtId="0" xfId="0" applyFont="1" applyBorder="1" applyAlignment="1">
      <alignment horizontal="center" vertical="center" wrapText="1"/>
    </xf>
    <xf fontId="3" fillId="0" borderId="28" numFmtId="0" xfId="0" applyFont="1" applyBorder="1" applyAlignment="1">
      <alignment horizontal="center" textRotation="90" vertical="center" wrapText="1"/>
    </xf>
    <xf fontId="1" fillId="0" borderId="29" numFmtId="0" xfId="0" applyFont="1" applyBorder="1" applyAlignment="1">
      <alignment horizontal="center" vertical="center" wrapText="1"/>
    </xf>
    <xf fontId="1" fillId="0" borderId="30" numFmtId="0" xfId="0" applyFont="1" applyBorder="1" applyAlignment="1">
      <alignment horizontal="center" vertical="center" wrapText="1"/>
    </xf>
    <xf fontId="4" fillId="5" borderId="30" numFmtId="0" xfId="0" applyFont="1" applyFill="1" applyBorder="1" applyAlignment="1">
      <alignment horizontal="center" vertical="center"/>
    </xf>
    <xf fontId="1" fillId="0" borderId="31" numFmtId="163" xfId="1" applyNumberFormat="1" applyFont="1" applyBorder="1" applyAlignment="1">
      <alignment horizontal="center" vertical="center" wrapText="1"/>
    </xf>
    <xf fontId="0" fillId="0" borderId="20" numFmtId="162" xfId="0" applyNumberFormat="1" applyBorder="1" applyAlignment="1">
      <alignment horizontal="center" vertical="center" wrapText="1"/>
    </xf>
    <xf fontId="3" fillId="0" borderId="32" numFmtId="0" xfId="0" applyFont="1" applyBorder="1" applyAlignment="1">
      <alignment horizontal="center" textRotation="90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 wrapText="1"/>
    </xf>
    <xf fontId="1" fillId="0" borderId="33" numFmtId="162" xfId="0" applyNumberFormat="1" applyFont="1" applyBorder="1" applyAlignment="1">
      <alignment horizontal="center" vertical="center" wrapText="1"/>
    </xf>
    <xf fontId="3" fillId="5" borderId="34" numFmtId="0" xfId="0" applyFont="1" applyFill="1" applyBorder="1" applyAlignment="1">
      <alignment horizontal="center" vertical="center"/>
    </xf>
    <xf fontId="3" fillId="5" borderId="35" numFmtId="0" xfId="0" applyFont="1" applyFill="1" applyBorder="1" applyAlignment="1">
      <alignment horizontal="center" vertical="center"/>
    </xf>
    <xf fontId="3" fillId="5" borderId="36" numFmtId="0" xfId="0" applyFont="1" applyFill="1" applyBorder="1" applyAlignment="1">
      <alignment horizontal="center" vertical="center"/>
    </xf>
    <xf fontId="1" fillId="0" borderId="19" numFmtId="162" xfId="0" applyNumberFormat="1" applyFont="1" applyBorder="1" applyAlignment="1">
      <alignment horizontal="center" vertical="center" wrapText="1"/>
    </xf>
    <xf fontId="4" fillId="0" borderId="26" numFmtId="0" xfId="0" applyFont="1" applyBorder="1" applyAlignment="1">
      <alignment horizontal="center" vertical="center" wrapText="1"/>
    </xf>
    <xf fontId="4" fillId="0" borderId="27" numFmtId="0" xfId="0" applyFont="1" applyBorder="1" applyAlignment="1">
      <alignment horizontal="center" vertical="center" wrapText="1"/>
    </xf>
    <xf fontId="4" fillId="6" borderId="27" numFmtId="0" xfId="0" applyFont="1" applyFill="1" applyBorder="1" applyAlignment="1">
      <alignment horizontal="center" vertical="center"/>
    </xf>
    <xf fontId="5" fillId="4" borderId="22" numFmtId="0" xfId="0" applyFont="1" applyFill="1" applyBorder="1" applyAlignment="1">
      <alignment horizontal="center" vertical="center" wrapText="1"/>
    </xf>
    <xf fontId="4" fillId="0" borderId="32" numFmtId="162" xfId="0" applyNumberFormat="1" applyFont="1" applyBorder="1" applyAlignment="1">
      <alignment horizontal="center" vertical="center" wrapText="1"/>
    </xf>
    <xf fontId="2" fillId="0" borderId="20" numFmtId="162" xfId="0" applyNumberFormat="1" applyFont="1" applyBorder="1" applyAlignment="1">
      <alignment horizontal="center" vertical="center" wrapText="1"/>
    </xf>
    <xf fontId="3" fillId="5" borderId="7" numFmtId="0" xfId="0" applyFont="1" applyFill="1" applyBorder="1" applyAlignment="1">
      <alignment vertical="center"/>
    </xf>
    <xf fontId="1" fillId="0" borderId="37" numFmtId="0" xfId="0" applyFont="1" applyBorder="1"/>
    <xf fontId="4" fillId="5" borderId="17" numFmtId="0" xfId="0" applyFont="1" applyFill="1" applyBorder="1" applyAlignment="1">
      <alignment horizontal="center" vertical="center"/>
    </xf>
    <xf fontId="4" fillId="5" borderId="17" numFmtId="0" xfId="0" applyFont="1" applyFill="1" applyBorder="1" applyAlignment="1">
      <alignment horizontal="center" vertical="center" wrapText="1"/>
    </xf>
    <xf fontId="1" fillId="0" borderId="38" numFmtId="0" xfId="0" applyFont="1" applyBorder="1"/>
    <xf fontId="3" fillId="0" borderId="21" numFmtId="0" xfId="0" applyFont="1" applyBorder="1" applyAlignment="1">
      <alignment horizontal="center" vertical="center"/>
    </xf>
    <xf fontId="1" fillId="0" borderId="39" numFmtId="0" xfId="0" applyFont="1" applyBorder="1" applyAlignment="1">
      <alignment horizontal="center"/>
    </xf>
    <xf fontId="1" fillId="0" borderId="27" numFmtId="49" xfId="0" applyNumberFormat="1" applyFont="1" applyBorder="1" applyAlignment="1">
      <alignment horizontal="center" vertical="center" wrapText="1"/>
    </xf>
    <xf fontId="4" fillId="7" borderId="22" numFmtId="0" xfId="0" applyFont="1" applyFill="1" applyBorder="1" applyAlignment="1">
      <alignment horizontal="center" vertical="center"/>
    </xf>
    <xf fontId="1" fillId="0" borderId="15" numFmtId="162" xfId="0" applyNumberFormat="1" applyFont="1" applyBorder="1" applyAlignment="1">
      <alignment horizontal="center" vertical="center" wrapText="1"/>
    </xf>
    <xf fontId="1" fillId="0" borderId="26" numFmtId="0" xfId="0" applyFont="1" applyBorder="1" applyAlignment="1">
      <alignment horizontal="center"/>
    </xf>
    <xf fontId="1" fillId="0" borderId="22" numFmtId="49" xfId="0" applyNumberFormat="1" applyFont="1" applyBorder="1" applyAlignment="1">
      <alignment horizontal="center" vertical="center" wrapText="1"/>
    </xf>
    <xf fontId="1" fillId="0" borderId="32" numFmtId="162" xfId="0" applyNumberFormat="1" applyFont="1" applyBorder="1" applyAlignment="1">
      <alignment horizontal="center" vertical="center" wrapText="1"/>
    </xf>
    <xf fontId="1" fillId="0" borderId="32" numFmtId="0" xfId="0" applyFont="1" applyBorder="1" applyAlignment="1">
      <alignment horizontal="center" vertical="center" wrapText="1"/>
    </xf>
    <xf fontId="1" fillId="0" borderId="29" numFmtId="0" xfId="0" applyFont="1" applyBorder="1" applyAlignment="1">
      <alignment horizontal="center"/>
    </xf>
    <xf fontId="1" fillId="0" borderId="40" numFmtId="0" xfId="0" applyFont="1" applyBorder="1" applyAlignment="1">
      <alignment horizontal="center" vertical="center" wrapText="1"/>
    </xf>
    <xf fontId="1" fillId="0" borderId="0" numFmtId="0" xfId="0" applyFont="1"/>
    <xf fontId="4" fillId="0" borderId="19" numFmtId="0" xfId="0" applyFont="1" applyBorder="1"/>
    <xf fontId="6" fillId="5" borderId="16" numFmtId="0" xfId="0" applyFont="1" applyFill="1" applyBorder="1" applyAlignment="1">
      <alignment horizontal="center" vertical="center"/>
    </xf>
    <xf fontId="6" fillId="5" borderId="17" numFmtId="0" xfId="0" applyFont="1" applyFill="1" applyBorder="1" applyAlignment="1">
      <alignment horizontal="center" vertical="center"/>
    </xf>
    <xf fontId="6" fillId="5" borderId="9" numFmtId="0" xfId="0" applyFont="1" applyFill="1" applyBorder="1" applyAlignment="1">
      <alignment horizontal="center" vertical="center"/>
    </xf>
    <xf fontId="6" fillId="5" borderId="41" numFmtId="0" xfId="0" applyFont="1" applyFill="1" applyBorder="1" applyAlignment="1">
      <alignment horizontal="center" vertical="center"/>
    </xf>
    <xf fontId="7" fillId="0" borderId="20" numFmtId="0" xfId="0" applyFont="1" applyBorder="1" applyAlignment="1">
      <alignment horizontal="center" vertical="center"/>
    </xf>
    <xf fontId="1" fillId="0" borderId="21" numFmtId="0" xfId="0" applyFont="1" applyBorder="1" applyAlignment="1">
      <alignment horizontal="center" vertical="center"/>
    </xf>
    <xf fontId="1" fillId="0" borderId="0" numFmtId="162" xfId="0" applyNumberFormat="1" applyFont="1" applyAlignment="1">
      <alignment horizontal="center" vertical="center" wrapText="1"/>
    </xf>
    <xf fontId="4" fillId="0" borderId="22" numFmtId="49" xfId="0" applyNumberFormat="1" applyFont="1" applyBorder="1" applyAlignment="1">
      <alignment horizontal="center" vertical="center"/>
    </xf>
    <xf fontId="4" fillId="0" borderId="22" numFmtId="0" xfId="0" applyFont="1" applyBorder="1" applyAlignment="1">
      <alignment horizontal="center" vertical="center" wrapText="1"/>
    </xf>
    <xf fontId="4" fillId="8" borderId="22" numFmtId="0" xfId="0" applyFont="1" applyFill="1" applyBorder="1" applyAlignment="1">
      <alignment horizontal="center" vertical="center"/>
    </xf>
    <xf fontId="4" fillId="0" borderId="42" numFmtId="162" xfId="0" applyNumberFormat="1" applyFont="1" applyBorder="1" applyAlignment="1">
      <alignment horizontal="center" vertical="center" wrapText="1"/>
    </xf>
    <xf fontId="8" fillId="0" borderId="20" numFmtId="0" xfId="0" applyFont="1" applyBorder="1" applyAlignment="1">
      <alignment horizontal="center" vertical="center" wrapText="1"/>
    </xf>
    <xf fontId="0" fillId="0" borderId="22" numFmtId="0" xfId="0" applyBorder="1"/>
    <xf fontId="8" fillId="0" borderId="20" numFmtId="162" xfId="0" applyNumberFormat="1" applyFont="1" applyBorder="1" applyAlignment="1">
      <alignment horizontal="center" vertical="center" wrapText="1"/>
    </xf>
    <xf fontId="4" fillId="0" borderId="28" numFmtId="0" xfId="0" applyFont="1" applyBorder="1"/>
    <xf fontId="4" fillId="0" borderId="30" numFmtId="49" xfId="0" applyNumberFormat="1" applyFont="1" applyBorder="1" applyAlignment="1">
      <alignment horizontal="center" vertical="center"/>
    </xf>
    <xf fontId="4" fillId="0" borderId="30" numFmtId="0" xfId="0" applyFont="1" applyBorder="1" applyAlignment="1">
      <alignment horizontal="center" vertical="center" wrapText="1"/>
    </xf>
    <xf fontId="6" fillId="3" borderId="28" numFmtId="0" xfId="0" applyFont="1" applyFill="1" applyBorder="1" applyAlignment="1">
      <alignment horizontal="center" textRotation="90" vertical="center" wrapText="1"/>
    </xf>
    <xf fontId="4" fillId="0" borderId="30" numFmtId="0" xfId="0" applyFont="1" applyBorder="1" applyAlignment="1">
      <alignment horizontal="center" vertical="center"/>
    </xf>
    <xf fontId="6" fillId="5" borderId="8" numFmtId="0" xfId="0" applyFont="1" applyFill="1" applyBorder="1" applyAlignment="1">
      <alignment horizontal="center" vertical="center"/>
    </xf>
    <xf fontId="6" fillId="5" borderId="43" numFmtId="0" xfId="0" applyFont="1" applyFill="1" applyBorder="1" applyAlignment="1">
      <alignment horizontal="center" vertical="center"/>
    </xf>
    <xf fontId="4" fillId="5" borderId="19" numFmtId="0" xfId="0" applyFont="1" applyFill="1" applyBorder="1"/>
    <xf fontId="4" fillId="9" borderId="22" numFmtId="0" xfId="0" applyFont="1" applyFill="1" applyBorder="1" applyAlignment="1">
      <alignment horizontal="center" vertical="center"/>
    </xf>
    <xf fontId="4" fillId="0" borderId="25" numFmtId="0" xfId="0" applyFont="1" applyBorder="1" applyAlignment="1">
      <alignment horizontal="center" vertical="center" wrapText="1"/>
    </xf>
    <xf fontId="4" fillId="5" borderId="22" numFmtId="0" xfId="0" applyFont="1" applyFill="1" applyBorder="1" applyAlignment="1">
      <alignment horizontal="center" vertical="center"/>
    </xf>
    <xf fontId="3" fillId="9" borderId="0" numFmtId="0" xfId="0" applyFont="1" applyFill="1" applyAlignment="1">
      <alignment horizontal="center" textRotation="90" vertical="center" wrapText="1"/>
    </xf>
    <xf fontId="4" fillId="10" borderId="30" numFmtId="0" xfId="0" applyFont="1" applyFill="1" applyBorder="1" applyAlignment="1">
      <alignment horizontal="center" vertical="center"/>
    </xf>
    <xf fontId="4" fillId="0" borderId="22" numFmtId="49" xfId="0" applyNumberFormat="1" applyFont="1" applyBorder="1" applyAlignment="1">
      <alignment horizontal="center" vertical="center" wrapText="1"/>
    </xf>
    <xf fontId="1" fillId="0" borderId="32" numFmtId="0" xfId="0" applyFont="1" applyBorder="1" applyAlignment="1">
      <alignment horizontal="center"/>
    </xf>
    <xf fontId="1" fillId="0" borderId="22" numFmtId="49" xfId="0" applyNumberFormat="1" applyFont="1" applyBorder="1" applyAlignment="1">
      <alignment horizontal="center" vertical="center"/>
    </xf>
    <xf fontId="1" fillId="5" borderId="4" numFmtId="0" xfId="0" applyFont="1" applyFill="1" applyBorder="1" applyAlignment="1">
      <alignment horizontal="center" vertical="center"/>
    </xf>
    <xf fontId="1" fillId="0" borderId="44" numFmtId="161" xfId="1" applyNumberFormat="1" applyFont="1" applyBorder="1" applyAlignment="1">
      <alignment horizontal="center" vertical="center" wrapText="1"/>
    </xf>
    <xf fontId="1" fillId="0" borderId="45" numFmtId="0" xfId="0" applyFont="1" applyBorder="1" applyAlignment="1">
      <alignment horizontal="center"/>
    </xf>
    <xf fontId="3" fillId="5" borderId="16" numFmtId="0" xfId="0" applyFont="1" applyFill="1" applyBorder="1" applyAlignment="1">
      <alignment horizontal="center" vertical="center" wrapText="1"/>
    </xf>
    <xf fontId="3" fillId="5" borderId="17" numFmtId="0" xfId="0" applyFont="1" applyFill="1" applyBorder="1" applyAlignment="1">
      <alignment horizontal="center" vertical="center" wrapText="1"/>
    </xf>
    <xf fontId="3" fillId="5" borderId="18" numFmtId="0" xfId="0" applyFont="1" applyFill="1" applyBorder="1" applyAlignment="1">
      <alignment horizontal="center" vertical="center" wrapText="1"/>
    </xf>
    <xf fontId="3" fillId="5" borderId="45" numFmtId="0" xfId="0" applyFont="1" applyFill="1" applyBorder="1" applyAlignment="1">
      <alignment horizontal="center" textRotation="90" vertical="center" wrapText="1"/>
    </xf>
    <xf fontId="1" fillId="0" borderId="5" numFmtId="0" xfId="0" applyFont="1" applyBorder="1" applyAlignment="1">
      <alignment horizontal="center"/>
    </xf>
    <xf fontId="1" fillId="0" borderId="46" numFmtId="49" xfId="0" applyNumberFormat="1" applyFont="1" applyBorder="1" applyAlignment="1">
      <alignment horizontal="center" vertical="center" wrapText="1"/>
    </xf>
    <xf fontId="1" fillId="0" borderId="43" numFmtId="49" xfId="0" applyNumberFormat="1" applyFont="1" applyBorder="1" applyAlignment="1">
      <alignment horizontal="center" vertical="center" wrapText="1"/>
    </xf>
    <xf fontId="1" fillId="0" borderId="43" numFmtId="0" xfId="0" applyFont="1" applyBorder="1" applyAlignment="1">
      <alignment horizontal="center" vertical="center" wrapText="1"/>
    </xf>
    <xf fontId="1" fillId="0" borderId="45" numFmtId="162" xfId="0" applyNumberFormat="1" applyFont="1" applyBorder="1" applyAlignment="1">
      <alignment horizontal="center" vertical="center" wrapText="1"/>
    </xf>
    <xf fontId="3" fillId="5" borderId="4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/>
    </xf>
    <xf fontId="6" fillId="8" borderId="27" numFmtId="0" xfId="0" applyFont="1" applyFill="1" applyBorder="1" applyAlignment="1">
      <alignment horizontal="center" vertical="center"/>
    </xf>
    <xf fontId="1" fillId="0" borderId="42" numFmtId="162" xfId="0" applyNumberFormat="1" applyFont="1" applyBorder="1" applyAlignment="1">
      <alignment horizontal="center" vertical="center" wrapText="1"/>
    </xf>
    <xf fontId="1" fillId="0" borderId="26" numFmtId="0" xfId="0" applyFont="1" applyBorder="1" applyAlignment="1">
      <alignment horizontal="center" vertical="center"/>
    </xf>
    <xf fontId="1" fillId="0" borderId="27" numFmtId="0" xfId="0" applyFont="1" applyBorder="1" applyAlignment="1">
      <alignment horizontal="center" vertical="center"/>
    </xf>
    <xf fontId="3" fillId="0" borderId="27" numFmtId="0" xfId="0" applyFont="1" applyBorder="1" applyAlignment="1">
      <alignment horizontal="center" vertical="center"/>
    </xf>
    <xf fontId="1" fillId="0" borderId="27" numFmtId="0" xfId="0" applyFont="1" applyBorder="1" applyAlignment="1">
      <alignment horizontal="center"/>
    </xf>
    <xf fontId="1" fillId="0" borderId="42" numFmtId="164" xfId="1" applyNumberFormat="1" applyFont="1" applyBorder="1" applyAlignment="1">
      <alignment horizontal="center" vertical="center"/>
    </xf>
    <xf fontId="3" fillId="0" borderId="22" numFmtId="0" xfId="0" applyFont="1" applyBorder="1" applyAlignment="1">
      <alignment horizontal="center" vertical="center"/>
    </xf>
    <xf fontId="1" fillId="0" borderId="23" numFmtId="164" xfId="1" applyNumberFormat="1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49" xfId="0" applyNumberFormat="1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/>
    </xf>
    <xf fontId="1" fillId="0" borderId="33" numFmtId="164" xfId="1" applyNumberFormat="1" applyFont="1" applyBorder="1" applyAlignment="1">
      <alignment horizontal="center" vertical="center"/>
    </xf>
    <xf fontId="1" fillId="0" borderId="47" numFmtId="162" xfId="0" applyNumberFormat="1" applyFont="1" applyBorder="1" applyAlignment="1">
      <alignment horizontal="center" vertical="center" wrapText="1"/>
    </xf>
    <xf fontId="2" fillId="0" borderId="48" numFmtId="0" xfId="0" applyFont="1" applyBorder="1" applyAlignment="1">
      <alignment horizontal="center"/>
    </xf>
    <xf fontId="1" fillId="0" borderId="49" numFmtId="0" xfId="0" applyFont="1" applyBorder="1" applyAlignment="1">
      <alignment horizontal="center"/>
    </xf>
    <xf fontId="9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pn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emf"/><Relationship Id="rId12" Type="http://schemas.openxmlformats.org/officeDocument/2006/relationships/image" Target="../media/image12.emf"/><Relationship Id="rId13" Type="http://schemas.openxmlformats.org/officeDocument/2006/relationships/image" Target="../media/image13.emf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jpg"/><Relationship Id="rId17" Type="http://schemas.openxmlformats.org/officeDocument/2006/relationships/image" Target="../media/image17.emf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jpg"/><Relationship Id="rId22" Type="http://schemas.openxmlformats.org/officeDocument/2006/relationships/image" Target="../media/image22.jpg"/><Relationship Id="rId23" Type="http://schemas.openxmlformats.org/officeDocument/2006/relationships/image" Target="../media/image23.jpg"/><Relationship Id="rId24" Type="http://schemas.openxmlformats.org/officeDocument/2006/relationships/image" Target="../media/image24.jpg"/><Relationship Id="rId25" Type="http://schemas.openxmlformats.org/officeDocument/2006/relationships/image" Target="../media/image25.jpg"/><Relationship Id="rId26" Type="http://schemas.openxmlformats.org/officeDocument/2006/relationships/image" Target="../media/image26.jpg"/><Relationship Id="rId27" Type="http://schemas.openxmlformats.org/officeDocument/2006/relationships/image" Target="../media/image27.jpg"/><Relationship Id="rId28" Type="http://schemas.openxmlformats.org/officeDocument/2006/relationships/image" Target="../media/image28.jpg"/><Relationship Id="rId29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171450</xdr:colOff>
      <xdr:row>2</xdr:row>
      <xdr:rowOff>1476374</xdr:rowOff>
    </xdr:from>
    <xdr:to>
      <xdr:col>4</xdr:col>
      <xdr:colOff>503074</xdr:colOff>
      <xdr:row>3</xdr:row>
      <xdr:rowOff>771526</xdr:rowOff>
    </xdr:to>
    <xdr:pic>
      <xdr:nvPicPr>
        <xdr:cNvPr id="2" name="Рисунок 1"/>
        <xdr:cNvPicPr>
          <a:picLocks noChangeAspect="1"/>
        </xdr:cNvPicPr>
      </xdr:nvPicPr>
      <xdr:blipFill>
        <a:blip r:embed="rId1"/>
        <a:srcRect l="14041" t="0" r="14040" b="0"/>
        <a:stretch/>
      </xdr:blipFill>
      <xdr:spPr bwMode="auto">
        <a:xfrm>
          <a:off x="171450" y="1926648"/>
          <a:ext cx="4695806" cy="4023014"/>
        </a:xfrm>
        <a:prstGeom prst="rect">
          <a:avLst/>
        </a:prstGeom>
      </xdr:spPr>
    </xdr:pic>
    <xdr:clientData/>
  </xdr:twoCellAnchor>
  <xdr:twoCellAnchor editAs="twoCell">
    <xdr:from>
      <xdr:col>5</xdr:col>
      <xdr:colOff>544286</xdr:colOff>
      <xdr:row>32</xdr:row>
      <xdr:rowOff>122464</xdr:rowOff>
    </xdr:from>
    <xdr:to>
      <xdr:col>5</xdr:col>
      <xdr:colOff>1189371</xdr:colOff>
      <xdr:row>32</xdr:row>
      <xdr:rowOff>707571</xdr:rowOff>
    </xdr:to>
    <xdr:pic>
      <xdr:nvPicPr>
        <xdr:cNvPr id="18" name="Picture 9"/>
        <xdr:cNvPicPr>
          <a:picLocks noChangeAspect="1" noChangeArrowheads="1"/>
        </xdr:cNvPicPr>
      </xdr:nvPicPr>
      <xdr:blipFill>
        <a:blip r:embed="rId2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674179" y="25744714"/>
          <a:ext cx="645085" cy="5851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108857</xdr:colOff>
      <xdr:row>35</xdr:row>
      <xdr:rowOff>95250</xdr:rowOff>
    </xdr:from>
    <xdr:to>
      <xdr:col>5</xdr:col>
      <xdr:colOff>1606015</xdr:colOff>
      <xdr:row>35</xdr:row>
      <xdr:rowOff>459423</xdr:rowOff>
    </xdr:to>
    <xdr:pic>
      <xdr:nvPicPr>
        <xdr:cNvPr id="19" name="Picture 9"/>
        <xdr:cNvPicPr>
          <a:picLocks noChangeAspect="1" noChangeArrowheads="1"/>
        </xdr:cNvPicPr>
      </xdr:nvPicPr>
      <xdr:blipFill>
        <a:blip r:embed="rId3"/>
        <a:stretch/>
      </xdr:blipFill>
      <xdr:spPr bwMode="auto">
        <a:xfrm>
          <a:off x="5238750" y="26533929"/>
          <a:ext cx="1497157" cy="3641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122465</xdr:colOff>
      <xdr:row>36</xdr:row>
      <xdr:rowOff>190500</xdr:rowOff>
    </xdr:from>
    <xdr:to>
      <xdr:col>5</xdr:col>
      <xdr:colOff>1619623</xdr:colOff>
      <xdr:row>36</xdr:row>
      <xdr:rowOff>554673</xdr:rowOff>
    </xdr:to>
    <xdr:pic>
      <xdr:nvPicPr>
        <xdr:cNvPr id="20" name="Picture 9"/>
        <xdr:cNvPicPr>
          <a:picLocks noChangeAspect="1" noChangeArrowheads="1"/>
        </xdr:cNvPicPr>
      </xdr:nvPicPr>
      <xdr:blipFill>
        <a:blip r:embed="rId3"/>
        <a:stretch/>
      </xdr:blipFill>
      <xdr:spPr bwMode="auto">
        <a:xfrm>
          <a:off x="5252358" y="27377571"/>
          <a:ext cx="1497157" cy="3641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217714</xdr:colOff>
      <xdr:row>39</xdr:row>
      <xdr:rowOff>54429</xdr:rowOff>
    </xdr:from>
    <xdr:to>
      <xdr:col>5</xdr:col>
      <xdr:colOff>1468274</xdr:colOff>
      <xdr:row>39</xdr:row>
      <xdr:rowOff>425471</xdr:rowOff>
    </xdr:to>
    <xdr:pic>
      <xdr:nvPicPr>
        <xdr:cNvPr id="22" name="Picture 9"/>
        <xdr:cNvPicPr>
          <a:picLocks noChangeAspect="1" noChangeArrowheads="1"/>
        </xdr:cNvPicPr>
      </xdr:nvPicPr>
      <xdr:blipFill>
        <a:blip r:embed="rId4"/>
        <a:stretch/>
      </xdr:blipFill>
      <xdr:spPr bwMode="auto">
        <a:xfrm rot="5400000">
          <a:off x="5787366" y="28366563"/>
          <a:ext cx="371042" cy="12505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666750</xdr:colOff>
      <xdr:row>40</xdr:row>
      <xdr:rowOff>81643</xdr:rowOff>
    </xdr:from>
    <xdr:to>
      <xdr:col>5</xdr:col>
      <xdr:colOff>1094227</xdr:colOff>
      <xdr:row>40</xdr:row>
      <xdr:rowOff>492021</xdr:rowOff>
    </xdr:to>
    <xdr:pic>
      <xdr:nvPicPr>
        <xdr:cNvPr id="23" name="Picture 9"/>
        <xdr:cNvPicPr>
          <a:picLocks noChangeAspect="1" noChangeArrowheads="1"/>
        </xdr:cNvPicPr>
      </xdr:nvPicPr>
      <xdr:blipFill>
        <a:blip r:embed="rId5"/>
        <a:stretch/>
      </xdr:blipFill>
      <xdr:spPr bwMode="auto">
        <a:xfrm>
          <a:off x="5796643" y="29364214"/>
          <a:ext cx="427477" cy="4103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653143</xdr:colOff>
      <xdr:row>41</xdr:row>
      <xdr:rowOff>40822</xdr:rowOff>
    </xdr:from>
    <xdr:to>
      <xdr:col>5</xdr:col>
      <xdr:colOff>1258726</xdr:colOff>
      <xdr:row>41</xdr:row>
      <xdr:rowOff>639536</xdr:rowOff>
    </xdr:to>
    <xdr:pic>
      <xdr:nvPicPr>
        <xdr:cNvPr id="24" name="Рисунок 23" descr="Пол мостика 1500.jpg"/>
        <xdr:cNvPicPr>
          <a:picLocks noChangeAspect="1"/>
        </xdr:cNvPicPr>
      </xdr:nvPicPr>
      <xdr:blipFill>
        <a:blip r:embed="rId6"/>
        <a:stretch/>
      </xdr:blipFill>
      <xdr:spPr bwMode="auto">
        <a:xfrm>
          <a:off x="5783036" y="29908501"/>
          <a:ext cx="605583" cy="598714"/>
        </a:xfrm>
        <a:prstGeom prst="rect">
          <a:avLst/>
        </a:prstGeom>
      </xdr:spPr>
    </xdr:pic>
    <xdr:clientData/>
  </xdr:twoCellAnchor>
  <xdr:twoCellAnchor editAs="twoCell">
    <xdr:from>
      <xdr:col>5</xdr:col>
      <xdr:colOff>258535</xdr:colOff>
      <xdr:row>42</xdr:row>
      <xdr:rowOff>81643</xdr:rowOff>
    </xdr:from>
    <xdr:to>
      <xdr:col>5</xdr:col>
      <xdr:colOff>1543330</xdr:colOff>
      <xdr:row>42</xdr:row>
      <xdr:rowOff>639536</xdr:rowOff>
    </xdr:to>
    <xdr:pic>
      <xdr:nvPicPr>
        <xdr:cNvPr id="25" name="Рисунок 24" descr="Пол мостика 1500.jpg"/>
        <xdr:cNvPicPr>
          <a:picLocks noChangeAspect="1"/>
        </xdr:cNvPicPr>
      </xdr:nvPicPr>
      <xdr:blipFill>
        <a:blip r:embed="rId7"/>
        <a:stretch/>
      </xdr:blipFill>
      <xdr:spPr bwMode="auto">
        <a:xfrm>
          <a:off x="5388429" y="30629679"/>
          <a:ext cx="1284794" cy="557893"/>
        </a:xfrm>
        <a:prstGeom prst="rect">
          <a:avLst/>
        </a:prstGeom>
      </xdr:spPr>
    </xdr:pic>
    <xdr:clientData/>
  </xdr:twoCellAnchor>
  <xdr:twoCellAnchor editAs="twoCell">
    <xdr:from>
      <xdr:col>5</xdr:col>
      <xdr:colOff>340178</xdr:colOff>
      <xdr:row>45</xdr:row>
      <xdr:rowOff>231322</xdr:rowOff>
    </xdr:from>
    <xdr:to>
      <xdr:col>5</xdr:col>
      <xdr:colOff>1382323</xdr:colOff>
      <xdr:row>45</xdr:row>
      <xdr:rowOff>298558</xdr:rowOff>
    </xdr:to>
    <xdr:sp>
      <xdr:nvSpPr>
        <xdr:cNvPr id="26" name="Прямоугольник 25"/>
        <xdr:cNvSpPr/>
      </xdr:nvSpPr>
      <xdr:spPr bwMode="auto">
        <a:xfrm>
          <a:off x="5470071" y="32208108"/>
          <a:ext cx="1042146" cy="67236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>
            <a:defRPr/>
          </a:pPr>
          <a:endParaRPr lang="ru-RU" sz="1100"/>
        </a:p>
      </xdr:txBody>
    </xdr:sp>
    <xdr:clientData/>
  </xdr:twoCellAnchor>
  <xdr:twoCellAnchor editAs="oneCell">
    <xdr:from>
      <xdr:col>5</xdr:col>
      <xdr:colOff>454639</xdr:colOff>
      <xdr:row>48</xdr:row>
      <xdr:rowOff>1020535</xdr:rowOff>
    </xdr:from>
    <xdr:to>
      <xdr:col>5</xdr:col>
      <xdr:colOff>1110742</xdr:colOff>
      <xdr:row>48</xdr:row>
      <xdr:rowOff>1644900</xdr:rowOff>
    </xdr:to>
    <xdr:pic>
      <xdr:nvPicPr>
        <xdr:cNvPr id="29" name="Picture 2"/>
        <xdr:cNvPicPr>
          <a:picLocks noChangeAspect="1" noChangeArrowheads="1"/>
        </xdr:cNvPicPr>
      </xdr:nvPicPr>
      <xdr:blipFill>
        <a:blip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 flipH="1">
          <a:off x="5584532" y="34861500"/>
          <a:ext cx="656103" cy="6194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398608</xdr:colOff>
      <xdr:row>51</xdr:row>
      <xdr:rowOff>46906</xdr:rowOff>
    </xdr:from>
    <xdr:to>
      <xdr:col>5</xdr:col>
      <xdr:colOff>1348867</xdr:colOff>
      <xdr:row>52</xdr:row>
      <xdr:rowOff>54910</xdr:rowOff>
    </xdr:to>
    <xdr:pic>
      <xdr:nvPicPr>
        <xdr:cNvPr id="30" name="Picture 2"/>
        <xdr:cNvPicPr>
          <a:picLocks noChangeAspect="1" noChangeArrowheads="1"/>
        </xdr:cNvPicPr>
      </xdr:nvPicPr>
      <xdr:blipFill>
        <a:blip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528501" y="40718656"/>
          <a:ext cx="950259" cy="8516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353784</xdr:colOff>
      <xdr:row>52</xdr:row>
      <xdr:rowOff>57348</xdr:rowOff>
    </xdr:from>
    <xdr:to>
      <xdr:col>5</xdr:col>
      <xdr:colOff>1377443</xdr:colOff>
      <xdr:row>52</xdr:row>
      <xdr:rowOff>804106</xdr:rowOff>
    </xdr:to>
    <xdr:pic>
      <xdr:nvPicPr>
        <xdr:cNvPr id="31" name="Picture 1" descr="комплектующие для маф крышки для деревянных столбов"/>
        <xdr:cNvPicPr>
          <a:picLocks noChangeAspect="1" noChangeArrowheads="1"/>
        </xdr:cNvPicPr>
      </xdr:nvPicPr>
      <xdr:blipFill>
        <a:blip r:embed="rId9">
          <a:grayscl/>
        </a:blip>
        <a:srcRect l="0" t="8989" r="0" b="8989"/>
        <a:stretch/>
      </xdr:blipFill>
      <xdr:spPr bwMode="auto">
        <a:xfrm>
          <a:off x="5483678" y="36524491"/>
          <a:ext cx="1023658" cy="746758"/>
        </a:xfrm>
        <a:prstGeom prst="rect">
          <a:avLst/>
        </a:prstGeom>
        <a:noFill/>
      </xdr:spPr>
    </xdr:pic>
    <xdr:clientData/>
  </xdr:twoCellAnchor>
  <xdr:twoCellAnchor editAs="twoCell">
    <xdr:from>
      <xdr:col>5</xdr:col>
      <xdr:colOff>27214</xdr:colOff>
      <xdr:row>14</xdr:row>
      <xdr:rowOff>81643</xdr:rowOff>
    </xdr:from>
    <xdr:to>
      <xdr:col>5</xdr:col>
      <xdr:colOff>1700891</xdr:colOff>
      <xdr:row>14</xdr:row>
      <xdr:rowOff>925285</xdr:rowOff>
    </xdr:to>
    <xdr:pic>
      <xdr:nvPicPr>
        <xdr:cNvPr id="32" name="Picture 1" descr="комплектующие для маф крышки для деревянных столбов"/>
        <xdr:cNvPicPr>
          <a:picLocks noChangeAspect="1" noChangeArrowheads="1"/>
        </xdr:cNvPicPr>
      </xdr:nvPicPr>
      <xdr:blipFill>
        <a:blip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466" t="29100" r="4823" b="16452"/>
        <a:stretch/>
      </xdr:blipFill>
      <xdr:spPr bwMode="auto">
        <a:xfrm>
          <a:off x="5157107" y="12368893"/>
          <a:ext cx="1673678" cy="843643"/>
        </a:xfrm>
        <a:prstGeom prst="rect">
          <a:avLst/>
        </a:prstGeom>
        <a:noFill/>
      </xdr:spPr>
    </xdr:pic>
    <xdr:clientData/>
  </xdr:twoCellAnchor>
  <xdr:oneCellAnchor>
    <xdr:from>
      <xdr:col>5</xdr:col>
      <xdr:colOff>190500</xdr:colOff>
      <xdr:row>17</xdr:row>
      <xdr:rowOff>68036</xdr:rowOff>
    </xdr:from>
    <xdr:ext cx="1423146" cy="448653"/>
    <xdr:pic>
      <xdr:nvPicPr>
        <xdr:cNvPr id="33" name="Рисунок 32"/>
        <xdr:cNvPicPr>
          <a:picLocks noChangeAspect="1" noChangeArrowheads="1"/>
        </xdr:cNvPicPr>
      </xdr:nvPicPr>
      <xdr:blipFill>
        <a:blip r:embed="rId11"/>
        <a:stretch/>
      </xdr:blipFill>
      <xdr:spPr bwMode="auto">
        <a:xfrm>
          <a:off x="5324475" y="15974786"/>
          <a:ext cx="1423147" cy="448653"/>
        </a:xfrm>
        <a:prstGeom prst="rect">
          <a:avLst/>
        </a:prstGeom>
        <a:noFill/>
      </xdr:spPr>
    </xdr:pic>
    <xdr:clientData/>
  </xdr:oneCellAnchor>
  <xdr:twoCellAnchor editAs="oneCell">
    <xdr:from>
      <xdr:col>5</xdr:col>
      <xdr:colOff>312965</xdr:colOff>
      <xdr:row>16</xdr:row>
      <xdr:rowOff>95249</xdr:rowOff>
    </xdr:from>
    <xdr:to>
      <xdr:col>5</xdr:col>
      <xdr:colOff>1445138</xdr:colOff>
      <xdr:row>16</xdr:row>
      <xdr:rowOff>1197428</xdr:rowOff>
    </xdr:to>
    <xdr:pic>
      <xdr:nvPicPr>
        <xdr:cNvPr id="34" name="Рисунок 33"/>
        <xdr:cNvPicPr>
          <a:picLocks noChangeAspect="1" noChangeArrowheads="1"/>
        </xdr:cNvPicPr>
      </xdr:nvPicPr>
      <xdr:blipFill>
        <a:blip r:embed="rId12"/>
        <a:stretch/>
      </xdr:blipFill>
      <xdr:spPr bwMode="auto">
        <a:xfrm>
          <a:off x="5442857" y="13715999"/>
          <a:ext cx="1132173" cy="110217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312965</xdr:colOff>
      <xdr:row>19</xdr:row>
      <xdr:rowOff>163285</xdr:rowOff>
    </xdr:from>
    <xdr:to>
      <xdr:col>5</xdr:col>
      <xdr:colOff>1401535</xdr:colOff>
      <xdr:row>19</xdr:row>
      <xdr:rowOff>1197428</xdr:rowOff>
    </xdr:to>
    <xdr:pic>
      <xdr:nvPicPr>
        <xdr:cNvPr id="35" name="Рисунок 34"/>
        <xdr:cNvPicPr>
          <a:picLocks noChangeAspect="1" noChangeArrowheads="1"/>
        </xdr:cNvPicPr>
      </xdr:nvPicPr>
      <xdr:blipFill>
        <a:blip r:embed="rId13"/>
        <a:stretch/>
      </xdr:blipFill>
      <xdr:spPr bwMode="auto">
        <a:xfrm>
          <a:off x="5442857" y="16056428"/>
          <a:ext cx="1088571" cy="1034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217715</xdr:colOff>
      <xdr:row>20</xdr:row>
      <xdr:rowOff>108857</xdr:rowOff>
    </xdr:from>
    <xdr:to>
      <xdr:col>5</xdr:col>
      <xdr:colOff>1387929</xdr:colOff>
      <xdr:row>20</xdr:row>
      <xdr:rowOff>1211034</xdr:rowOff>
    </xdr:to>
    <xdr:pic>
      <xdr:nvPicPr>
        <xdr:cNvPr id="36" name="Рисунок 35"/>
        <xdr:cNvPicPr>
          <a:picLocks noChangeAspect="1" noChangeArrowheads="1"/>
        </xdr:cNvPicPr>
      </xdr:nvPicPr>
      <xdr:blipFill>
        <a:blip r:embed="rId13"/>
        <a:stretch/>
      </xdr:blipFill>
      <xdr:spPr bwMode="auto">
        <a:xfrm>
          <a:off x="5347608" y="17308286"/>
          <a:ext cx="1170214" cy="110217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466164</xdr:colOff>
      <xdr:row>37</xdr:row>
      <xdr:rowOff>78441</xdr:rowOff>
    </xdr:from>
    <xdr:to>
      <xdr:col>5</xdr:col>
      <xdr:colOff>1142114</xdr:colOff>
      <xdr:row>37</xdr:row>
      <xdr:rowOff>688042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4"/>
        <a:srcRect l="42106" t="41708" r="46144" b="40417"/>
        <a:stretch/>
      </xdr:blipFill>
      <xdr:spPr bwMode="auto">
        <a:xfrm>
          <a:off x="5609664" y="31006677"/>
          <a:ext cx="675951" cy="60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190500</xdr:colOff>
      <xdr:row>48</xdr:row>
      <xdr:rowOff>196994</xdr:rowOff>
    </xdr:from>
    <xdr:to>
      <xdr:col>5</xdr:col>
      <xdr:colOff>1617085</xdr:colOff>
      <xdr:row>48</xdr:row>
      <xdr:rowOff>2091156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15"/>
        <a:srcRect l="26978" t="7028" r="32333" b="4400"/>
        <a:stretch/>
      </xdr:blipFill>
      <xdr:spPr bwMode="auto">
        <a:xfrm>
          <a:off x="5334000" y="37777449"/>
          <a:ext cx="1426586" cy="18941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421821</xdr:colOff>
      <xdr:row>43</xdr:row>
      <xdr:rowOff>95251</xdr:rowOff>
    </xdr:from>
    <xdr:to>
      <xdr:col>5</xdr:col>
      <xdr:colOff>1232562</xdr:colOff>
      <xdr:row>43</xdr:row>
      <xdr:rowOff>857251</xdr:rowOff>
    </xdr:to>
    <xdr:pic>
      <xdr:nvPicPr>
        <xdr:cNvPr id="43" name="Picture 9"/>
        <xdr:cNvPicPr>
          <a:picLocks noChangeAspect="1" noChangeArrowheads="1"/>
        </xdr:cNvPicPr>
      </xdr:nvPicPr>
      <xdr:blipFill>
        <a:blip r:embed="rId16"/>
        <a:stretch/>
      </xdr:blipFill>
      <xdr:spPr bwMode="auto">
        <a:xfrm>
          <a:off x="5551715" y="34616572"/>
          <a:ext cx="810740" cy="762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557893</xdr:colOff>
      <xdr:row>50</xdr:row>
      <xdr:rowOff>68036</xdr:rowOff>
    </xdr:from>
    <xdr:to>
      <xdr:col>5</xdr:col>
      <xdr:colOff>1157556</xdr:colOff>
      <xdr:row>50</xdr:row>
      <xdr:rowOff>673153</xdr:rowOff>
    </xdr:to>
    <xdr:pic>
      <xdr:nvPicPr>
        <xdr:cNvPr id="44" name="Picture 2"/>
        <xdr:cNvPicPr>
          <a:picLocks noChangeAspect="1" noChangeArrowheads="1"/>
        </xdr:cNvPicPr>
      </xdr:nvPicPr>
      <xdr:blipFill>
        <a:blip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87786" y="39991393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173183</xdr:colOff>
      <xdr:row>22</xdr:row>
      <xdr:rowOff>69273</xdr:rowOff>
    </xdr:from>
    <xdr:to>
      <xdr:col>5</xdr:col>
      <xdr:colOff>1541319</xdr:colOff>
      <xdr:row>22</xdr:row>
      <xdr:rowOff>1160867</xdr:rowOff>
    </xdr:to>
    <xdr:pic>
      <xdr:nvPicPr>
        <xdr:cNvPr id="41" name="Рисунок 40"/>
        <xdr:cNvPicPr>
          <a:picLocks noChangeAspect="1" noChangeArrowheads="1"/>
        </xdr:cNvPicPr>
      </xdr:nvPicPr>
      <xdr:blipFill>
        <a:blip r:embed="rId17"/>
        <a:stretch/>
      </xdr:blipFill>
      <xdr:spPr bwMode="auto">
        <a:xfrm>
          <a:off x="5307158" y="19109748"/>
          <a:ext cx="1368136" cy="1091594"/>
        </a:xfrm>
        <a:prstGeom prst="rect">
          <a:avLst/>
        </a:prstGeom>
        <a:noFill/>
      </xdr:spPr>
    </xdr:pic>
    <xdr:clientData/>
  </xdr:twoCellAnchor>
  <xdr:twoCellAnchor editAs="twoCell">
    <xdr:from>
      <xdr:col>5</xdr:col>
      <xdr:colOff>441117</xdr:colOff>
      <xdr:row>25</xdr:row>
      <xdr:rowOff>54428</xdr:rowOff>
    </xdr:from>
    <xdr:to>
      <xdr:col>5</xdr:col>
      <xdr:colOff>1251857</xdr:colOff>
      <xdr:row>25</xdr:row>
      <xdr:rowOff>1026166</xdr:rowOff>
    </xdr:to>
    <xdr:pic>
      <xdr:nvPicPr>
        <xdr:cNvPr id="45" name="Picture 9"/>
        <xdr:cNvPicPr>
          <a:picLocks noChangeAspect="1" noChangeArrowheads="1"/>
        </xdr:cNvPicPr>
      </xdr:nvPicPr>
      <xdr:blipFill>
        <a:blip r:embed="rId16"/>
        <a:stretch/>
      </xdr:blipFill>
      <xdr:spPr bwMode="auto">
        <a:xfrm>
          <a:off x="5575092" y="21504728"/>
          <a:ext cx="810740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86591</xdr:colOff>
      <xdr:row>38</xdr:row>
      <xdr:rowOff>200250</xdr:rowOff>
    </xdr:from>
    <xdr:to>
      <xdr:col>5</xdr:col>
      <xdr:colOff>1662545</xdr:colOff>
      <xdr:row>38</xdr:row>
      <xdr:rowOff>461907</xdr:rowOff>
    </xdr:to>
    <xdr:pic>
      <xdr:nvPicPr>
        <xdr:cNvPr id="5" name="Рисунок 4"/>
        <xdr:cNvPicPr>
          <a:picLocks noChangeAspect="1"/>
        </xdr:cNvPicPr>
      </xdr:nvPicPr>
      <xdr:blipFill>
        <a:blip r:embed="rId18"/>
        <a:srcRect l="25209" t="43164" r="16081" b="40856"/>
        <a:stretch/>
      </xdr:blipFill>
      <xdr:spPr bwMode="auto">
        <a:xfrm>
          <a:off x="5230091" y="32204251"/>
          <a:ext cx="1575954" cy="261656"/>
        </a:xfrm>
        <a:prstGeom prst="rect">
          <a:avLst/>
        </a:prstGeom>
      </xdr:spPr>
    </xdr:pic>
    <xdr:clientData/>
  </xdr:twoCellAnchor>
  <xdr:twoCellAnchor editAs="oneCell">
    <xdr:from>
      <xdr:col>5</xdr:col>
      <xdr:colOff>640773</xdr:colOff>
      <xdr:row>2</xdr:row>
      <xdr:rowOff>86591</xdr:rowOff>
    </xdr:from>
    <xdr:to>
      <xdr:col>10</xdr:col>
      <xdr:colOff>294409</xdr:colOff>
      <xdr:row>2</xdr:row>
      <xdr:rowOff>3535842</xdr:rowOff>
    </xdr:to>
    <xdr:pic>
      <xdr:nvPicPr>
        <xdr:cNvPr id="6" name="Рисунок 5"/>
        <xdr:cNvPicPr>
          <a:picLocks noChangeAspect="1"/>
        </xdr:cNvPicPr>
      </xdr:nvPicPr>
      <xdr:blipFill>
        <a:blip r:embed="rId19"/>
        <a:stretch/>
      </xdr:blipFill>
      <xdr:spPr bwMode="auto">
        <a:xfrm>
          <a:off x="5784273" y="536865"/>
          <a:ext cx="4537364" cy="3449250"/>
        </a:xfrm>
        <a:prstGeom prst="rect">
          <a:avLst/>
        </a:prstGeom>
      </xdr:spPr>
    </xdr:pic>
    <xdr:clientData/>
  </xdr:twoCellAnchor>
  <xdr:twoCellAnchor editAs="oneCell">
    <xdr:from>
      <xdr:col>4</xdr:col>
      <xdr:colOff>508195</xdr:colOff>
      <xdr:row>2</xdr:row>
      <xdr:rowOff>3359727</xdr:rowOff>
    </xdr:from>
    <xdr:to>
      <xdr:col>10</xdr:col>
      <xdr:colOff>536866</xdr:colOff>
      <xdr:row>3</xdr:row>
      <xdr:rowOff>2336415</xdr:rowOff>
    </xdr:to>
    <xdr:pic>
      <xdr:nvPicPr>
        <xdr:cNvPr id="7" name="Рисунок 6"/>
        <xdr:cNvPicPr>
          <a:picLocks noChangeAspect="1"/>
        </xdr:cNvPicPr>
      </xdr:nvPicPr>
      <xdr:blipFill>
        <a:blip r:embed="rId20"/>
        <a:stretch/>
      </xdr:blipFill>
      <xdr:spPr bwMode="auto">
        <a:xfrm>
          <a:off x="4872377" y="3810000"/>
          <a:ext cx="5691716" cy="3704551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176893</xdr:colOff>
      <xdr:row>23</xdr:row>
      <xdr:rowOff>27214</xdr:rowOff>
    </xdr:from>
    <xdr:to>
      <xdr:col>5</xdr:col>
      <xdr:colOff>1396093</xdr:colOff>
      <xdr:row>23</xdr:row>
      <xdr:rowOff>1170214</xdr:rowOff>
    </xdr:to>
    <xdr:pic>
      <xdr:nvPicPr>
        <xdr:cNvPr id="37" name="Рисунок 36"/>
        <xdr:cNvPicPr>
          <a:picLocks noChangeAspect="1" noChangeArrowheads="1"/>
        </xdr:cNvPicPr>
      </xdr:nvPicPr>
      <xdr:blipFill>
        <a:blip r:embed="rId21"/>
        <a:stretch/>
      </xdr:blipFill>
      <xdr:spPr bwMode="auto">
        <a:xfrm>
          <a:off x="5306786" y="19880035"/>
          <a:ext cx="121920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122464</xdr:colOff>
      <xdr:row>24</xdr:row>
      <xdr:rowOff>95250</xdr:rowOff>
    </xdr:from>
    <xdr:to>
      <xdr:col>5</xdr:col>
      <xdr:colOff>1455964</xdr:colOff>
      <xdr:row>24</xdr:row>
      <xdr:rowOff>1238250</xdr:rowOff>
    </xdr:to>
    <xdr:pic>
      <xdr:nvPicPr>
        <xdr:cNvPr id="38" name="Рисунок 37"/>
        <xdr:cNvPicPr>
          <a:picLocks noChangeAspect="1" noChangeArrowheads="1"/>
        </xdr:cNvPicPr>
      </xdr:nvPicPr>
      <xdr:blipFill>
        <a:blip r:embed="rId22"/>
        <a:stretch/>
      </xdr:blipFill>
      <xdr:spPr bwMode="auto">
        <a:xfrm>
          <a:off x="5252357" y="21281571"/>
          <a:ext cx="133350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27</xdr:row>
      <xdr:rowOff>149679</xdr:rowOff>
    </xdr:from>
    <xdr:to>
      <xdr:col>5</xdr:col>
      <xdr:colOff>1447800</xdr:colOff>
      <xdr:row>27</xdr:row>
      <xdr:rowOff>1292679</xdr:rowOff>
    </xdr:to>
    <xdr:pic>
      <xdr:nvPicPr>
        <xdr:cNvPr id="39" name="Рисунок 38"/>
        <xdr:cNvPicPr>
          <a:picLocks noChangeAspect="1" noChangeArrowheads="1"/>
        </xdr:cNvPicPr>
      </xdr:nvPicPr>
      <xdr:blipFill>
        <a:blip r:embed="rId23"/>
        <a:stretch/>
      </xdr:blipFill>
      <xdr:spPr bwMode="auto">
        <a:xfrm>
          <a:off x="5320393" y="24111858"/>
          <a:ext cx="125730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312964</xdr:colOff>
      <xdr:row>28</xdr:row>
      <xdr:rowOff>163286</xdr:rowOff>
    </xdr:from>
    <xdr:to>
      <xdr:col>5</xdr:col>
      <xdr:colOff>1351188</xdr:colOff>
      <xdr:row>28</xdr:row>
      <xdr:rowOff>1306286</xdr:rowOff>
    </xdr:to>
    <xdr:pic>
      <xdr:nvPicPr>
        <xdr:cNvPr id="40" name="Рисунок 39"/>
        <xdr:cNvPicPr>
          <a:picLocks noChangeAspect="1" noChangeArrowheads="1"/>
        </xdr:cNvPicPr>
      </xdr:nvPicPr>
      <xdr:blipFill>
        <a:blip r:embed="rId24"/>
        <a:stretch/>
      </xdr:blipFill>
      <xdr:spPr bwMode="auto">
        <a:xfrm>
          <a:off x="5442857" y="25581429"/>
          <a:ext cx="1038225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163285</xdr:colOff>
      <xdr:row>29</xdr:row>
      <xdr:rowOff>95250</xdr:rowOff>
    </xdr:from>
    <xdr:to>
      <xdr:col>5</xdr:col>
      <xdr:colOff>1496785</xdr:colOff>
      <xdr:row>29</xdr:row>
      <xdr:rowOff>1238250</xdr:rowOff>
    </xdr:to>
    <xdr:pic>
      <xdr:nvPicPr>
        <xdr:cNvPr id="48" name="Рисунок 47"/>
        <xdr:cNvPicPr>
          <a:picLocks noChangeAspect="1" noChangeArrowheads="1"/>
        </xdr:cNvPicPr>
      </xdr:nvPicPr>
      <xdr:blipFill>
        <a:blip r:embed="rId22"/>
        <a:stretch/>
      </xdr:blipFill>
      <xdr:spPr bwMode="auto">
        <a:xfrm>
          <a:off x="5293178" y="26969357"/>
          <a:ext cx="133350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244928</xdr:colOff>
      <xdr:row>30</xdr:row>
      <xdr:rowOff>95250</xdr:rowOff>
    </xdr:from>
    <xdr:to>
      <xdr:col>5</xdr:col>
      <xdr:colOff>1502228</xdr:colOff>
      <xdr:row>30</xdr:row>
      <xdr:rowOff>1238250</xdr:rowOff>
    </xdr:to>
    <xdr:pic>
      <xdr:nvPicPr>
        <xdr:cNvPr id="49" name="Рисунок 48"/>
        <xdr:cNvPicPr>
          <a:picLocks noChangeAspect="1" noChangeArrowheads="1"/>
        </xdr:cNvPicPr>
      </xdr:nvPicPr>
      <xdr:blipFill>
        <a:blip r:embed="rId25"/>
        <a:stretch/>
      </xdr:blipFill>
      <xdr:spPr bwMode="auto">
        <a:xfrm>
          <a:off x="5374821" y="28384500"/>
          <a:ext cx="125730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149679</xdr:colOff>
      <xdr:row>31</xdr:row>
      <xdr:rowOff>13607</xdr:rowOff>
    </xdr:from>
    <xdr:to>
      <xdr:col>5</xdr:col>
      <xdr:colOff>1626054</xdr:colOff>
      <xdr:row>32</xdr:row>
      <xdr:rowOff>0</xdr:rowOff>
    </xdr:to>
    <xdr:pic>
      <xdr:nvPicPr>
        <xdr:cNvPr id="50" name="Рисунок 49"/>
        <xdr:cNvPicPr>
          <a:picLocks noChangeAspect="1" noChangeArrowheads="1"/>
        </xdr:cNvPicPr>
      </xdr:nvPicPr>
      <xdr:blipFill>
        <a:blip r:embed="rId26"/>
        <a:stretch/>
      </xdr:blipFill>
      <xdr:spPr bwMode="auto">
        <a:xfrm>
          <a:off x="5279572" y="29745214"/>
          <a:ext cx="1476375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299357</xdr:colOff>
      <xdr:row>34</xdr:row>
      <xdr:rowOff>108857</xdr:rowOff>
    </xdr:from>
    <xdr:to>
      <xdr:col>5</xdr:col>
      <xdr:colOff>1480457</xdr:colOff>
      <xdr:row>34</xdr:row>
      <xdr:rowOff>1251857</xdr:rowOff>
    </xdr:to>
    <xdr:pic>
      <xdr:nvPicPr>
        <xdr:cNvPr id="51" name="Рисунок 50"/>
        <xdr:cNvPicPr>
          <a:picLocks noChangeAspect="1" noChangeArrowheads="1"/>
        </xdr:cNvPicPr>
      </xdr:nvPicPr>
      <xdr:blipFill>
        <a:blip r:embed="rId27"/>
        <a:stretch/>
      </xdr:blipFill>
      <xdr:spPr bwMode="auto">
        <a:xfrm>
          <a:off x="5429250" y="32629928"/>
          <a:ext cx="1181099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136070</xdr:colOff>
      <xdr:row>33</xdr:row>
      <xdr:rowOff>54429</xdr:rowOff>
    </xdr:from>
    <xdr:to>
      <xdr:col>5</xdr:col>
      <xdr:colOff>1402896</xdr:colOff>
      <xdr:row>33</xdr:row>
      <xdr:rowOff>1197429</xdr:rowOff>
    </xdr:to>
    <xdr:pic>
      <xdr:nvPicPr>
        <xdr:cNvPr id="52" name="Рисунок 51"/>
        <xdr:cNvPicPr>
          <a:picLocks noChangeAspect="1" noChangeArrowheads="1"/>
        </xdr:cNvPicPr>
      </xdr:nvPicPr>
      <xdr:blipFill>
        <a:blip r:embed="rId28"/>
        <a:stretch/>
      </xdr:blipFill>
      <xdr:spPr bwMode="auto">
        <a:xfrm>
          <a:off x="5265964" y="31759072"/>
          <a:ext cx="1266825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231321</xdr:colOff>
      <xdr:row>46</xdr:row>
      <xdr:rowOff>163286</xdr:rowOff>
    </xdr:from>
    <xdr:to>
      <xdr:col>5</xdr:col>
      <xdr:colOff>1440995</xdr:colOff>
      <xdr:row>46</xdr:row>
      <xdr:rowOff>1310368</xdr:rowOff>
    </xdr:to>
    <xdr:pic>
      <xdr:nvPicPr>
        <xdr:cNvPr id="53" name="Рисунок 52"/>
        <xdr:cNvPicPr>
          <a:picLocks noChangeAspect="1" noChangeArrowheads="1"/>
        </xdr:cNvPicPr>
      </xdr:nvPicPr>
      <xdr:blipFill>
        <a:blip r:embed="rId29"/>
        <a:stretch/>
      </xdr:blipFill>
      <xdr:spPr bwMode="auto">
        <a:xfrm>
          <a:off x="5361214" y="41814750"/>
          <a:ext cx="1209675" cy="1147082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1" zoomScale="70" workbookViewId="0">
      <selection activeCell="D57" activeCellId="0" sqref="D57"/>
    </sheetView>
  </sheetViews>
  <sheetFormatPr defaultRowHeight="14.25"/>
  <cols>
    <col customWidth="1" hidden="1" min="1" max="1" style="1" width="6.28515625"/>
    <col customWidth="1" min="2" max="2" style="1" width="7.7109375"/>
    <col customWidth="1" min="3" max="3" style="1" width="16.28515625"/>
    <col customWidth="1" min="4" max="4" style="1" width="41.28515625"/>
    <col customWidth="1" min="5" max="5" style="2" width="11.7109375"/>
    <col customWidth="1" min="6" max="6" style="1" width="26.7109375"/>
    <col customWidth="1" min="7" max="7" style="1" width="12.85546875"/>
    <col customWidth="1" min="8" max="8" style="1" width="10.140625"/>
    <col customWidth="1" min="9" max="10" style="1" width="11.7109375"/>
    <col customWidth="1" min="11" max="11" style="3" width="12.28515625"/>
    <col customWidth="1" min="12" max="12" style="1" width="12.28515625"/>
    <col customWidth="1" min="13" max="13" style="4" width="20"/>
    <col customWidth="1" min="14" max="14" style="1" width="14.140625"/>
    <col customWidth="1" min="15" max="15" style="1" width="7.28515625"/>
    <col min="16" max="16384" style="1" width="9.140625"/>
  </cols>
  <sheetData>
    <row r="1" ht="16.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18.75" customHeight="1">
      <c r="A2" s="7"/>
      <c r="B2" s="8" t="s">
        <v>1</v>
      </c>
      <c r="C2" s="8"/>
      <c r="D2" s="8"/>
      <c r="E2" s="8"/>
      <c r="F2" s="8"/>
      <c r="G2" s="8"/>
      <c r="H2" s="8"/>
      <c r="I2" s="8"/>
      <c r="J2" s="8"/>
      <c r="K2" s="8"/>
    </row>
    <row r="3" ht="372" customHeight="1">
      <c r="A3" s="9"/>
      <c r="B3" s="10"/>
      <c r="C3" s="9"/>
      <c r="D3" s="9"/>
      <c r="E3" s="9"/>
      <c r="F3" s="9"/>
      <c r="G3" s="9"/>
      <c r="H3" s="9"/>
      <c r="I3" s="9"/>
      <c r="J3" s="9"/>
      <c r="K3" s="11"/>
    </row>
    <row r="4" ht="210.75" customHeight="1">
      <c r="A4" s="9"/>
      <c r="B4" s="10"/>
      <c r="C4" s="9"/>
      <c r="D4" s="9"/>
      <c r="E4" s="9"/>
      <c r="F4" s="9"/>
      <c r="G4" s="9"/>
      <c r="H4" s="9"/>
      <c r="I4" s="9"/>
      <c r="J4" s="9"/>
      <c r="K4" s="11"/>
    </row>
    <row r="5" ht="69" customHeight="1">
      <c r="A5" s="12"/>
      <c r="B5" s="13" t="s">
        <v>2</v>
      </c>
      <c r="C5" s="14" t="s">
        <v>3</v>
      </c>
      <c r="D5" s="15" t="s">
        <v>4</v>
      </c>
      <c r="E5" s="14" t="s">
        <v>5</v>
      </c>
      <c r="F5" s="14" t="s">
        <v>6</v>
      </c>
      <c r="G5" s="14" t="s">
        <v>7</v>
      </c>
      <c r="H5" s="15" t="s">
        <v>8</v>
      </c>
      <c r="I5" s="15" t="s">
        <v>9</v>
      </c>
      <c r="J5" s="15" t="s">
        <v>10</v>
      </c>
      <c r="K5" s="16" t="s">
        <v>11</v>
      </c>
      <c r="L5" s="17" t="s">
        <v>12</v>
      </c>
      <c r="M5" s="18" t="s">
        <v>13</v>
      </c>
      <c r="N5" s="19" t="s">
        <v>14</v>
      </c>
      <c r="O5" s="20" t="s">
        <v>15</v>
      </c>
      <c r="P5" s="21" t="s">
        <v>16</v>
      </c>
      <c r="Q5" s="22" t="s">
        <v>17</v>
      </c>
    </row>
    <row r="6" ht="16.5">
      <c r="A6" s="23"/>
      <c r="B6" s="24" t="s">
        <v>18</v>
      </c>
      <c r="C6" s="25"/>
      <c r="D6" s="25"/>
      <c r="E6" s="25"/>
      <c r="F6" s="25"/>
      <c r="G6" s="25"/>
      <c r="H6" s="25"/>
      <c r="I6" s="25"/>
      <c r="J6" s="25"/>
      <c r="K6" s="26"/>
      <c r="L6" s="27"/>
      <c r="M6" s="28"/>
      <c r="N6" s="29"/>
      <c r="O6" s="30"/>
      <c r="P6" s="30"/>
      <c r="Q6" s="31"/>
    </row>
    <row r="7" s="32" customFormat="1" ht="18.75" customHeight="1">
      <c r="A7" s="1"/>
      <c r="B7" s="33">
        <v>1</v>
      </c>
      <c r="C7" s="34" t="s">
        <v>19</v>
      </c>
      <c r="D7" s="21" t="s">
        <v>20</v>
      </c>
      <c r="E7" s="21">
        <v>1</v>
      </c>
      <c r="F7" s="21"/>
      <c r="G7" s="35">
        <v>8014</v>
      </c>
      <c r="H7" s="21">
        <v>0.14999999999999999</v>
      </c>
      <c r="I7" s="21">
        <v>0.10000000000000001</v>
      </c>
      <c r="J7" s="21">
        <v>0.10000000000000001</v>
      </c>
      <c r="K7" s="36">
        <f t="shared" ref="K7:K9" si="0">H7*I7*J7</f>
        <v>0.0015</v>
      </c>
      <c r="L7" s="37">
        <f t="shared" ref="L7:L53" si="1">K7*E7</f>
        <v>0.0015</v>
      </c>
      <c r="M7" s="38"/>
      <c r="N7" s="39"/>
      <c r="O7" s="40">
        <f t="shared" ref="O7:O16" si="2">N7*E7</f>
        <v>0</v>
      </c>
      <c r="P7" s="40"/>
      <c r="Q7" s="41">
        <f t="shared" ref="Q7:Q29" si="3">P7*E7</f>
        <v>0</v>
      </c>
    </row>
    <row r="8" s="32" customFormat="1" ht="20.25" customHeight="1">
      <c r="A8" s="42"/>
      <c r="B8" s="43">
        <v>2</v>
      </c>
      <c r="C8" s="44" t="s">
        <v>21</v>
      </c>
      <c r="D8" s="40" t="s">
        <v>22</v>
      </c>
      <c r="E8" s="45">
        <v>6</v>
      </c>
      <c r="F8" s="45"/>
      <c r="G8" s="35">
        <v>8014</v>
      </c>
      <c r="H8" s="45">
        <v>0.40000000000000002</v>
      </c>
      <c r="I8" s="45">
        <v>0.10000000000000001</v>
      </c>
      <c r="J8" s="45">
        <v>0.10000000000000001</v>
      </c>
      <c r="K8" s="46">
        <f t="shared" si="0"/>
        <v>0.004000000000000001</v>
      </c>
      <c r="L8" s="37">
        <f t="shared" si="1"/>
        <v>0.024000000000000007</v>
      </c>
      <c r="M8" s="38"/>
      <c r="N8" s="39"/>
      <c r="O8" s="40">
        <f t="shared" si="2"/>
        <v>0</v>
      </c>
      <c r="P8" s="40"/>
      <c r="Q8" s="41">
        <f t="shared" si="3"/>
        <v>0</v>
      </c>
    </row>
    <row r="9" s="32" customFormat="1" ht="18.75" customHeight="1">
      <c r="A9" s="42"/>
      <c r="B9" s="43">
        <v>3</v>
      </c>
      <c r="C9" s="44" t="s">
        <v>23</v>
      </c>
      <c r="D9" s="40" t="s">
        <v>24</v>
      </c>
      <c r="E9" s="45">
        <v>2</v>
      </c>
      <c r="F9" s="45"/>
      <c r="G9" s="35">
        <v>8014</v>
      </c>
      <c r="H9" s="45">
        <v>0.90000000000000002</v>
      </c>
      <c r="I9" s="45">
        <v>0.10000000000000001</v>
      </c>
      <c r="J9" s="45">
        <v>0.10000000000000001</v>
      </c>
      <c r="K9" s="46">
        <f t="shared" si="0"/>
        <v>0.0090000000000000011</v>
      </c>
      <c r="L9" s="37">
        <f t="shared" si="1"/>
        <v>0.018000000000000002</v>
      </c>
      <c r="M9" s="38"/>
      <c r="N9" s="39"/>
      <c r="O9" s="40">
        <f t="shared" si="2"/>
        <v>0</v>
      </c>
      <c r="P9" s="40"/>
      <c r="Q9" s="41">
        <f t="shared" si="3"/>
        <v>0</v>
      </c>
    </row>
    <row r="10" s="32" customFormat="1" ht="18.75" customHeight="1">
      <c r="A10" s="42"/>
      <c r="B10" s="43">
        <v>4</v>
      </c>
      <c r="C10" s="30" t="s">
        <v>25</v>
      </c>
      <c r="D10" s="40" t="s">
        <v>26</v>
      </c>
      <c r="E10" s="40">
        <v>6</v>
      </c>
      <c r="F10" s="40"/>
      <c r="G10" s="35">
        <v>8014</v>
      </c>
      <c r="H10" s="40">
        <v>1.7</v>
      </c>
      <c r="I10" s="40">
        <v>0.10000000000000001</v>
      </c>
      <c r="J10" s="40">
        <v>0.10000000000000001</v>
      </c>
      <c r="K10" s="47">
        <f t="shared" ref="K10:K53" si="4">H10*I10*J10</f>
        <v>0.017000000000000001</v>
      </c>
      <c r="L10" s="37">
        <f t="shared" si="1"/>
        <v>0.10200000000000001</v>
      </c>
      <c r="M10" s="38"/>
      <c r="N10" s="39"/>
      <c r="O10" s="40">
        <f t="shared" si="2"/>
        <v>0</v>
      </c>
      <c r="P10" s="40"/>
      <c r="Q10" s="41">
        <f t="shared" si="3"/>
        <v>0</v>
      </c>
    </row>
    <row r="11" s="32" customFormat="1" ht="18.75" customHeight="1">
      <c r="A11" s="42"/>
      <c r="B11" s="43">
        <v>5</v>
      </c>
      <c r="C11" s="1" t="s">
        <v>27</v>
      </c>
      <c r="D11" s="48" t="s">
        <v>28</v>
      </c>
      <c r="E11" s="40">
        <v>4</v>
      </c>
      <c r="F11" s="40"/>
      <c r="G11" s="35">
        <v>8014</v>
      </c>
      <c r="H11" s="40">
        <v>2</v>
      </c>
      <c r="I11" s="40">
        <v>0.10000000000000001</v>
      </c>
      <c r="J11" s="40">
        <v>0.10000000000000001</v>
      </c>
      <c r="K11" s="47">
        <f t="shared" si="4"/>
        <v>0.020000000000000004</v>
      </c>
      <c r="L11" s="37">
        <f t="shared" si="1"/>
        <v>0.080000000000000016</v>
      </c>
      <c r="M11" s="38"/>
      <c r="N11" s="39"/>
      <c r="O11" s="40">
        <f t="shared" si="2"/>
        <v>0</v>
      </c>
      <c r="P11" s="40"/>
      <c r="Q11" s="41">
        <f t="shared" si="3"/>
        <v>0</v>
      </c>
    </row>
    <row r="12" s="32" customFormat="1" ht="53.25" customHeight="1">
      <c r="A12" s="49"/>
      <c r="B12" s="50">
        <v>6</v>
      </c>
      <c r="C12" s="51" t="s">
        <v>29</v>
      </c>
      <c r="D12" s="51" t="s">
        <v>30</v>
      </c>
      <c r="E12" s="51">
        <v>4</v>
      </c>
      <c r="F12" s="51"/>
      <c r="G12" s="52">
        <v>7047</v>
      </c>
      <c r="H12" s="51">
        <v>0.074999999999999997</v>
      </c>
      <c r="I12" s="51">
        <v>0.074999999999999997</v>
      </c>
      <c r="J12" s="51">
        <v>0.26000000000000001</v>
      </c>
      <c r="K12" s="53">
        <f t="shared" si="4"/>
        <v>0.0014625</v>
      </c>
      <c r="L12" s="37">
        <f t="shared" si="1"/>
        <v>0.0058500000000000002</v>
      </c>
      <c r="M12" s="54" t="s">
        <v>31</v>
      </c>
      <c r="N12" s="39"/>
      <c r="O12" s="40">
        <f t="shared" si="2"/>
        <v>0</v>
      </c>
      <c r="P12" s="40"/>
      <c r="Q12" s="41">
        <f t="shared" si="3"/>
        <v>0</v>
      </c>
    </row>
    <row r="13" s="32" customFormat="1" ht="66.75" customHeight="1">
      <c r="A13" s="55"/>
      <c r="B13" s="56">
        <v>7</v>
      </c>
      <c r="C13" s="57" t="s">
        <v>32</v>
      </c>
      <c r="D13" s="58" t="s">
        <v>33</v>
      </c>
      <c r="E13" s="58">
        <v>15</v>
      </c>
      <c r="F13" s="58"/>
      <c r="G13" s="52">
        <v>7047</v>
      </c>
      <c r="H13" s="58">
        <v>0.69999999999999996</v>
      </c>
      <c r="I13" s="58">
        <v>0.10000000000000001</v>
      </c>
      <c r="J13" s="58">
        <v>0.050000000000000003</v>
      </c>
      <c r="K13" s="59">
        <f t="shared" si="4"/>
        <v>0.0034999999999999996</v>
      </c>
      <c r="L13" s="37">
        <f t="shared" si="1"/>
        <v>0.052499999999999991</v>
      </c>
      <c r="M13" s="54" t="s">
        <v>31</v>
      </c>
      <c r="N13" s="39">
        <v>4</v>
      </c>
      <c r="O13" s="40">
        <f t="shared" si="2"/>
        <v>60</v>
      </c>
      <c r="P13" s="40"/>
      <c r="Q13" s="41">
        <f t="shared" si="3"/>
        <v>0</v>
      </c>
    </row>
    <row r="14" ht="16.5">
      <c r="A14" s="23"/>
      <c r="B14" s="60" t="s">
        <v>34</v>
      </c>
      <c r="C14" s="61"/>
      <c r="D14" s="61"/>
      <c r="E14" s="61"/>
      <c r="F14" s="61"/>
      <c r="G14" s="61"/>
      <c r="H14" s="61"/>
      <c r="I14" s="61"/>
      <c r="J14" s="61"/>
      <c r="K14" s="62"/>
      <c r="L14" s="63">
        <f t="shared" si="1"/>
        <v>0</v>
      </c>
      <c r="M14" s="28"/>
      <c r="N14" s="29"/>
      <c r="O14" s="40">
        <f t="shared" si="2"/>
        <v>0</v>
      </c>
      <c r="P14" s="40"/>
      <c r="Q14" s="41">
        <f t="shared" si="3"/>
        <v>0</v>
      </c>
    </row>
    <row r="15" s="32" customFormat="1" ht="82.5" customHeight="1">
      <c r="A15" s="64"/>
      <c r="B15" s="65">
        <v>8</v>
      </c>
      <c r="C15" s="66" t="s">
        <v>35</v>
      </c>
      <c r="D15" s="65" t="s">
        <v>36</v>
      </c>
      <c r="E15" s="65">
        <v>2</v>
      </c>
      <c r="F15" s="65"/>
      <c r="G15" s="67" t="s">
        <v>37</v>
      </c>
      <c r="H15" s="65">
        <v>0.80000000000000004</v>
      </c>
      <c r="I15" s="65">
        <v>0.80000000000000004</v>
      </c>
      <c r="J15" s="65">
        <v>0.080000000000000002</v>
      </c>
      <c r="K15" s="68">
        <f t="shared" si="4"/>
        <v>0.051200000000000009</v>
      </c>
      <c r="L15" s="63">
        <f t="shared" si="1"/>
        <v>0.10240000000000002</v>
      </c>
      <c r="M15" s="69" t="s">
        <v>38</v>
      </c>
      <c r="N15" s="39"/>
      <c r="O15" s="40">
        <f t="shared" si="2"/>
        <v>0</v>
      </c>
      <c r="P15" s="40"/>
      <c r="Q15" s="41">
        <f t="shared" si="3"/>
        <v>0</v>
      </c>
    </row>
    <row r="16" ht="22.5" customHeight="1">
      <c r="A16" s="70"/>
      <c r="B16" s="71"/>
      <c r="C16" s="72" t="s">
        <v>39</v>
      </c>
      <c r="D16" s="73" t="s">
        <v>40</v>
      </c>
      <c r="E16" s="73">
        <v>1</v>
      </c>
      <c r="F16" s="71"/>
      <c r="G16" s="71"/>
      <c r="H16" s="71"/>
      <c r="I16" s="71"/>
      <c r="J16" s="71"/>
      <c r="K16" s="74"/>
      <c r="L16" s="63">
        <f t="shared" si="1"/>
        <v>0</v>
      </c>
      <c r="M16" s="69"/>
      <c r="N16" s="75"/>
      <c r="O16" s="40">
        <f t="shared" si="2"/>
        <v>0</v>
      </c>
      <c r="P16" s="40"/>
      <c r="Q16" s="41">
        <f t="shared" si="3"/>
        <v>0</v>
      </c>
    </row>
    <row r="17" s="32" customFormat="1" ht="105" customHeight="1">
      <c r="A17" s="76"/>
      <c r="B17" s="77" t="s">
        <v>41</v>
      </c>
      <c r="C17" s="77" t="s">
        <v>42</v>
      </c>
      <c r="D17" s="48" t="s">
        <v>43</v>
      </c>
      <c r="E17" s="48">
        <v>2</v>
      </c>
      <c r="F17" s="48"/>
      <c r="G17" s="78">
        <v>6018</v>
      </c>
      <c r="H17" s="48">
        <v>0.80000000000000004</v>
      </c>
      <c r="I17" s="48">
        <v>0.97999999999999998</v>
      </c>
      <c r="J17" s="48">
        <v>0.021000000000000001</v>
      </c>
      <c r="K17" s="79">
        <f t="shared" si="4"/>
        <v>0.016464000000000003</v>
      </c>
      <c r="L17" s="63">
        <f t="shared" si="1"/>
        <v>0.032928000000000006</v>
      </c>
      <c r="M17" s="69" t="s">
        <v>44</v>
      </c>
      <c r="N17" s="39">
        <v>4</v>
      </c>
      <c r="O17" s="40">
        <f t="shared" ref="O17:O53" si="5">N17*E17</f>
        <v>8</v>
      </c>
      <c r="P17" s="40"/>
      <c r="Q17" s="41">
        <f t="shared" si="3"/>
        <v>0</v>
      </c>
    </row>
    <row r="18" s="32" customFormat="1" ht="45.75" customHeight="1">
      <c r="A18" s="80"/>
      <c r="B18" s="81" t="s">
        <v>45</v>
      </c>
      <c r="C18" s="81" t="s">
        <v>46</v>
      </c>
      <c r="D18" s="40" t="s">
        <v>47</v>
      </c>
      <c r="E18" s="40">
        <v>3</v>
      </c>
      <c r="F18" s="40"/>
      <c r="G18" s="67" t="s">
        <v>37</v>
      </c>
      <c r="H18" s="40">
        <v>0.59999999999999998</v>
      </c>
      <c r="I18" s="40">
        <v>0.14000000000000001</v>
      </c>
      <c r="J18" s="40">
        <v>0.017999999999999999</v>
      </c>
      <c r="K18" s="82">
        <f t="shared" si="4"/>
        <v>0.0015119999999999999</v>
      </c>
      <c r="L18" s="63">
        <f t="shared" si="1"/>
        <v>0.0045360000000000001</v>
      </c>
      <c r="M18" s="69" t="s">
        <v>48</v>
      </c>
      <c r="N18" s="39"/>
      <c r="O18" s="40">
        <f t="shared" si="5"/>
        <v>0</v>
      </c>
      <c r="P18" s="40"/>
      <c r="Q18" s="41">
        <f t="shared" si="3"/>
        <v>0</v>
      </c>
    </row>
    <row r="19" s="32" customFormat="1" ht="39.75" customHeight="1">
      <c r="A19" s="80"/>
      <c r="B19" s="81" t="s">
        <v>49</v>
      </c>
      <c r="C19" s="81" t="s">
        <v>50</v>
      </c>
      <c r="D19" s="40" t="s">
        <v>51</v>
      </c>
      <c r="E19" s="40">
        <v>3</v>
      </c>
      <c r="F19" s="40"/>
      <c r="G19" s="35">
        <v>8014</v>
      </c>
      <c r="H19" s="40">
        <v>0.035000000000000003</v>
      </c>
      <c r="I19" s="40">
        <v>0.089999999999999997</v>
      </c>
      <c r="J19" s="40">
        <v>0.55800000000000005</v>
      </c>
      <c r="K19" s="82">
        <f t="shared" si="4"/>
        <v>0.0017577000000000003</v>
      </c>
      <c r="L19" s="63">
        <f t="shared" si="1"/>
        <v>0.0052731000000000011</v>
      </c>
      <c r="M19" s="69" t="s">
        <v>52</v>
      </c>
      <c r="N19" s="39">
        <v>2</v>
      </c>
      <c r="O19" s="40">
        <f t="shared" si="5"/>
        <v>6</v>
      </c>
      <c r="P19" s="40"/>
      <c r="Q19" s="41">
        <f t="shared" si="3"/>
        <v>0</v>
      </c>
    </row>
    <row r="20" s="32" customFormat="1" ht="102.75" customHeight="1">
      <c r="A20" s="80"/>
      <c r="B20" s="81" t="s">
        <v>53</v>
      </c>
      <c r="C20" s="81" t="s">
        <v>54</v>
      </c>
      <c r="D20" s="40" t="s">
        <v>55</v>
      </c>
      <c r="E20" s="40">
        <v>2</v>
      </c>
      <c r="F20" s="40"/>
      <c r="G20" s="78">
        <v>6018</v>
      </c>
      <c r="H20" s="40">
        <v>0.80000000000000004</v>
      </c>
      <c r="I20" s="40">
        <v>0.94999999999999996</v>
      </c>
      <c r="J20" s="40">
        <v>0.021000000000000001</v>
      </c>
      <c r="K20" s="83">
        <v>0.0034499999999999999</v>
      </c>
      <c r="L20" s="63">
        <f t="shared" si="1"/>
        <v>0.0068999999999999999</v>
      </c>
      <c r="M20" s="69" t="s">
        <v>44</v>
      </c>
      <c r="N20" s="39">
        <v>4</v>
      </c>
      <c r="O20" s="40">
        <f t="shared" si="5"/>
        <v>8</v>
      </c>
      <c r="P20" s="40"/>
      <c r="Q20" s="41">
        <f t="shared" si="3"/>
        <v>0</v>
      </c>
    </row>
    <row r="21" s="32" customFormat="1" ht="102.75" customHeight="1">
      <c r="A21" s="84"/>
      <c r="B21" s="81" t="s">
        <v>56</v>
      </c>
      <c r="C21" s="81" t="s">
        <v>54</v>
      </c>
      <c r="D21" s="51" t="s">
        <v>55</v>
      </c>
      <c r="E21" s="51">
        <v>2</v>
      </c>
      <c r="F21" s="51"/>
      <c r="G21" s="52">
        <v>7047</v>
      </c>
      <c r="H21" s="51">
        <v>0.80000000000000004</v>
      </c>
      <c r="I21" s="51">
        <v>0.94999999999999996</v>
      </c>
      <c r="J21" s="51">
        <v>0.021000000000000001</v>
      </c>
      <c r="K21" s="85">
        <v>0.0034499999999999999</v>
      </c>
      <c r="L21" s="63">
        <f t="shared" si="1"/>
        <v>0.0068999999999999999</v>
      </c>
      <c r="M21" s="69" t="s">
        <v>44</v>
      </c>
      <c r="N21" s="39">
        <v>4</v>
      </c>
      <c r="O21" s="40">
        <f t="shared" si="5"/>
        <v>8</v>
      </c>
      <c r="P21" s="40"/>
      <c r="Q21" s="41">
        <f t="shared" si="3"/>
        <v>0</v>
      </c>
    </row>
    <row r="22" s="86" customFormat="1" ht="27" customHeight="1">
      <c r="A22" s="87"/>
      <c r="B22" s="88" t="s">
        <v>57</v>
      </c>
      <c r="C22" s="89"/>
      <c r="D22" s="89"/>
      <c r="E22" s="90"/>
      <c r="F22" s="90"/>
      <c r="G22" s="89"/>
      <c r="H22" s="89"/>
      <c r="I22" s="89"/>
      <c r="J22" s="89"/>
      <c r="K22" s="91"/>
      <c r="L22" s="37">
        <f t="shared" si="1"/>
        <v>0</v>
      </c>
      <c r="M22" s="92"/>
      <c r="N22" s="93"/>
      <c r="O22" s="40">
        <f t="shared" si="5"/>
        <v>0</v>
      </c>
      <c r="P22" s="45"/>
      <c r="Q22" s="40">
        <f t="shared" si="3"/>
        <v>0</v>
      </c>
      <c r="S22" s="32"/>
      <c r="V22" s="94"/>
    </row>
    <row r="23" s="32" customFormat="1" ht="99" customHeight="1">
      <c r="A23" s="87"/>
      <c r="B23" s="64">
        <v>14</v>
      </c>
      <c r="C23" s="95" t="s">
        <v>58</v>
      </c>
      <c r="D23" s="96" t="s">
        <v>59</v>
      </c>
      <c r="E23" s="96">
        <v>4</v>
      </c>
      <c r="F23" s="96"/>
      <c r="G23" s="97">
        <v>5017</v>
      </c>
      <c r="H23" s="96">
        <v>0.75</v>
      </c>
      <c r="I23" s="96">
        <v>0.94999999999999996</v>
      </c>
      <c r="J23" s="96">
        <v>0.014999999999999999</v>
      </c>
      <c r="K23" s="98">
        <f t="shared" si="4"/>
        <v>0.010687499999999999</v>
      </c>
      <c r="L23" s="37">
        <f t="shared" si="1"/>
        <v>0.042749999999999996</v>
      </c>
      <c r="M23" s="99"/>
      <c r="N23" s="39"/>
      <c r="O23" s="40">
        <f t="shared" si="5"/>
        <v>0</v>
      </c>
      <c r="P23" s="40"/>
      <c r="Q23" s="40">
        <f t="shared" si="3"/>
        <v>0</v>
      </c>
    </row>
    <row r="24" s="32" customFormat="1" ht="105" customHeight="1">
      <c r="A24" s="87"/>
      <c r="B24" s="64">
        <v>15</v>
      </c>
      <c r="C24" s="95" t="s">
        <v>60</v>
      </c>
      <c r="D24" s="96" t="s">
        <v>61</v>
      </c>
      <c r="E24" s="96">
        <v>8</v>
      </c>
      <c r="F24" s="100"/>
      <c r="G24" s="78">
        <v>6018</v>
      </c>
      <c r="H24" s="96">
        <v>0.81999999999999995</v>
      </c>
      <c r="I24" s="96">
        <v>0.34999999999999998</v>
      </c>
      <c r="J24" s="96">
        <v>0.021000000000000001</v>
      </c>
      <c r="K24" s="98">
        <f t="shared" si="4"/>
        <v>0.0060270000000000002</v>
      </c>
      <c r="L24" s="37">
        <f t="shared" si="1"/>
        <v>0.048216000000000002</v>
      </c>
      <c r="M24" s="101" t="s">
        <v>62</v>
      </c>
      <c r="N24" s="39">
        <v>4</v>
      </c>
      <c r="O24" s="40">
        <f t="shared" si="5"/>
        <v>32</v>
      </c>
      <c r="P24" s="40"/>
      <c r="Q24" s="40">
        <f t="shared" si="3"/>
        <v>0</v>
      </c>
    </row>
    <row r="25" s="32" customFormat="1" ht="105" customHeight="1">
      <c r="A25" s="102"/>
      <c r="B25" s="64">
        <v>16</v>
      </c>
      <c r="C25" s="103" t="s">
        <v>63</v>
      </c>
      <c r="D25" s="104" t="s">
        <v>64</v>
      </c>
      <c r="E25" s="96">
        <v>8</v>
      </c>
      <c r="F25" s="100"/>
      <c r="G25" s="52">
        <v>7047</v>
      </c>
      <c r="H25" s="104"/>
      <c r="I25" s="104"/>
      <c r="J25" s="104"/>
      <c r="K25" s="98"/>
      <c r="L25" s="37"/>
      <c r="M25" s="101"/>
      <c r="N25" s="39"/>
      <c r="O25" s="40"/>
      <c r="P25" s="40"/>
      <c r="Q25" s="40"/>
    </row>
    <row r="26" s="32" customFormat="1" ht="86.25" customHeight="1">
      <c r="A26" s="105"/>
      <c r="B26" s="64">
        <v>17</v>
      </c>
      <c r="C26" s="103" t="s">
        <v>65</v>
      </c>
      <c r="D26" s="106" t="s">
        <v>66</v>
      </c>
      <c r="E26" s="96">
        <v>20</v>
      </c>
      <c r="F26" s="96"/>
      <c r="G26" s="52">
        <v>7047</v>
      </c>
      <c r="H26" s="104">
        <v>0.062</v>
      </c>
      <c r="I26" s="104">
        <v>0.062</v>
      </c>
      <c r="J26" s="104">
        <v>0.040000000000000001</v>
      </c>
      <c r="K26" s="98">
        <f t="shared" si="4"/>
        <v>0.00015375999999999999</v>
      </c>
      <c r="L26" s="37">
        <f t="shared" si="1"/>
        <v>0.0030751999999999997</v>
      </c>
      <c r="M26" s="101" t="s">
        <v>67</v>
      </c>
      <c r="N26" s="39"/>
      <c r="O26" s="40">
        <f t="shared" si="5"/>
        <v>0</v>
      </c>
      <c r="P26" s="40">
        <v>2</v>
      </c>
      <c r="Q26" s="40">
        <f t="shared" si="3"/>
        <v>40</v>
      </c>
    </row>
    <row r="27" s="86" customFormat="1" ht="27" customHeight="1">
      <c r="A27" s="87"/>
      <c r="B27" s="107" t="s">
        <v>68</v>
      </c>
      <c r="C27" s="90"/>
      <c r="D27" s="90"/>
      <c r="E27" s="108"/>
      <c r="F27" s="108"/>
      <c r="G27" s="90"/>
      <c r="H27" s="89"/>
      <c r="I27" s="89"/>
      <c r="J27" s="89"/>
      <c r="K27" s="91"/>
      <c r="L27" s="37">
        <f t="shared" si="1"/>
        <v>0</v>
      </c>
      <c r="M27" s="92"/>
      <c r="N27" s="93"/>
      <c r="O27" s="40">
        <f t="shared" si="5"/>
        <v>0</v>
      </c>
      <c r="P27" s="45"/>
      <c r="Q27" s="40">
        <f t="shared" si="3"/>
        <v>0</v>
      </c>
      <c r="S27" s="32"/>
      <c r="V27" s="94"/>
    </row>
    <row r="28" s="32" customFormat="1" ht="114.75" customHeight="1">
      <c r="A28" s="109"/>
      <c r="B28" s="40">
        <v>18</v>
      </c>
      <c r="C28" s="95" t="s">
        <v>69</v>
      </c>
      <c r="D28" s="96" t="s">
        <v>70</v>
      </c>
      <c r="E28" s="96">
        <v>2</v>
      </c>
      <c r="F28" s="100"/>
      <c r="G28" s="110">
        <v>2008</v>
      </c>
      <c r="H28" s="96">
        <v>0.80000000000000004</v>
      </c>
      <c r="I28" s="96">
        <v>0.77000000000000002</v>
      </c>
      <c r="J28" s="96">
        <v>0.021000000000000001</v>
      </c>
      <c r="K28" s="98">
        <f t="shared" si="4"/>
        <v>0.012936000000000003</v>
      </c>
      <c r="L28" s="111">
        <f t="shared" si="1"/>
        <v>0.025872000000000006</v>
      </c>
      <c r="M28" s="101" t="s">
        <v>62</v>
      </c>
      <c r="N28" s="39">
        <v>4</v>
      </c>
      <c r="O28" s="40">
        <f t="shared" si="5"/>
        <v>8</v>
      </c>
      <c r="P28" s="40"/>
      <c r="Q28" s="40">
        <f t="shared" si="3"/>
        <v>0</v>
      </c>
    </row>
    <row r="29" s="32" customFormat="1" ht="114.75" customHeight="1">
      <c r="A29" s="109"/>
      <c r="B29" s="40">
        <v>19</v>
      </c>
      <c r="C29" s="95" t="s">
        <v>71</v>
      </c>
      <c r="D29" s="96" t="s">
        <v>72</v>
      </c>
      <c r="E29" s="96">
        <v>4</v>
      </c>
      <c r="F29" s="100"/>
      <c r="G29" s="112">
        <v>7047</v>
      </c>
      <c r="H29" s="96">
        <v>0.80000000000000004</v>
      </c>
      <c r="I29" s="96">
        <v>0.77000000000000002</v>
      </c>
      <c r="J29" s="96">
        <v>0.021000000000000001</v>
      </c>
      <c r="K29" s="98">
        <f t="shared" si="4"/>
        <v>0.012936000000000003</v>
      </c>
      <c r="L29" s="111">
        <f t="shared" si="1"/>
        <v>0.051744000000000012</v>
      </c>
      <c r="M29" s="101" t="s">
        <v>62</v>
      </c>
      <c r="N29" s="39">
        <v>4</v>
      </c>
      <c r="O29" s="40">
        <f t="shared" si="5"/>
        <v>16</v>
      </c>
      <c r="P29" s="40"/>
      <c r="Q29" s="40">
        <f t="shared" si="3"/>
        <v>0</v>
      </c>
    </row>
    <row r="30" s="32" customFormat="1" ht="111" customHeight="1">
      <c r="A30" s="23"/>
      <c r="B30" s="40">
        <v>20</v>
      </c>
      <c r="C30" s="95" t="s">
        <v>63</v>
      </c>
      <c r="D30" s="40" t="s">
        <v>73</v>
      </c>
      <c r="E30" s="40">
        <v>5</v>
      </c>
      <c r="F30" s="100"/>
      <c r="G30" s="112">
        <v>7047</v>
      </c>
      <c r="H30" s="40">
        <v>0.32000000000000001</v>
      </c>
      <c r="I30" s="40">
        <v>0.32000000000000001</v>
      </c>
      <c r="J30" s="40">
        <v>0.014999999999999999</v>
      </c>
      <c r="K30" s="82">
        <f t="shared" si="4"/>
        <v>0.001536</v>
      </c>
      <c r="L30" s="63">
        <f t="shared" si="1"/>
        <v>0.0076800000000000002</v>
      </c>
      <c r="M30" s="69" t="s">
        <v>74</v>
      </c>
      <c r="N30" s="39"/>
      <c r="O30" s="40">
        <f t="shared" si="5"/>
        <v>0</v>
      </c>
      <c r="P30" s="40">
        <v>3</v>
      </c>
      <c r="Q30" s="41">
        <f t="shared" ref="Q30:Q53" si="6">P30*E30</f>
        <v>15</v>
      </c>
    </row>
    <row r="31" s="32" customFormat="1" ht="113.25" customHeight="1">
      <c r="A31" s="23"/>
      <c r="B31" s="40">
        <v>21</v>
      </c>
      <c r="C31" s="95" t="s">
        <v>75</v>
      </c>
      <c r="D31" s="40" t="s">
        <v>76</v>
      </c>
      <c r="E31" s="40">
        <v>2</v>
      </c>
      <c r="F31" s="100"/>
      <c r="G31" s="78">
        <v>6018</v>
      </c>
      <c r="H31" s="40">
        <v>0.75</v>
      </c>
      <c r="I31" s="40">
        <v>0.58799999999999997</v>
      </c>
      <c r="J31" s="40">
        <v>0.021000000000000001</v>
      </c>
      <c r="K31" s="82">
        <f t="shared" si="4"/>
        <v>0.0092610000000000001</v>
      </c>
      <c r="L31" s="63">
        <f t="shared" si="1"/>
        <v>0.018522</v>
      </c>
      <c r="M31" s="69" t="s">
        <v>62</v>
      </c>
      <c r="N31" s="39">
        <v>4</v>
      </c>
      <c r="O31" s="40">
        <f t="shared" si="5"/>
        <v>8</v>
      </c>
      <c r="P31" s="40"/>
      <c r="Q31" s="41">
        <f t="shared" si="6"/>
        <v>0</v>
      </c>
    </row>
    <row r="32" s="32" customFormat="1" ht="91.5" customHeight="1">
      <c r="A32" s="23"/>
      <c r="B32" s="40">
        <v>22</v>
      </c>
      <c r="C32" s="95" t="s">
        <v>77</v>
      </c>
      <c r="D32" s="40" t="s">
        <v>78</v>
      </c>
      <c r="E32" s="40">
        <v>4</v>
      </c>
      <c r="F32" s="100"/>
      <c r="G32" s="112">
        <v>7047</v>
      </c>
      <c r="H32" s="40">
        <v>0.96299999999999997</v>
      </c>
      <c r="I32" s="40">
        <v>0.20000000000000001</v>
      </c>
      <c r="J32" s="40">
        <v>0.014999999999999999</v>
      </c>
      <c r="K32" s="82">
        <f t="shared" si="4"/>
        <v>0.0028889999999999996</v>
      </c>
      <c r="L32" s="63">
        <f t="shared" si="1"/>
        <v>0.011555999999999999</v>
      </c>
      <c r="M32" s="69" t="s">
        <v>79</v>
      </c>
      <c r="N32" s="39"/>
      <c r="O32" s="40">
        <f t="shared" si="5"/>
        <v>0</v>
      </c>
      <c r="P32" s="40"/>
      <c r="Q32" s="41">
        <f t="shared" si="6"/>
        <v>0</v>
      </c>
    </row>
    <row r="33" ht="64.5" customHeight="1">
      <c r="A33" s="23"/>
      <c r="B33" s="43">
        <v>23</v>
      </c>
      <c r="C33" s="81" t="s">
        <v>80</v>
      </c>
      <c r="D33" s="40" t="s">
        <v>81</v>
      </c>
      <c r="E33" s="40">
        <v>1</v>
      </c>
      <c r="F33" s="45"/>
      <c r="G33" s="40" t="s">
        <v>82</v>
      </c>
      <c r="H33" s="45">
        <v>0.32700000000000001</v>
      </c>
      <c r="I33" s="45">
        <v>0.32100000000000001</v>
      </c>
      <c r="J33" s="40">
        <v>0.017999999999999999</v>
      </c>
      <c r="K33" s="82">
        <f t="shared" si="4"/>
        <v>0.0018894059999999999</v>
      </c>
      <c r="L33" s="63">
        <f t="shared" si="1"/>
        <v>0.0018894059999999999</v>
      </c>
      <c r="M33" s="69" t="s">
        <v>83</v>
      </c>
      <c r="N33" s="39"/>
      <c r="O33" s="40">
        <f t="shared" si="5"/>
        <v>0</v>
      </c>
      <c r="P33" s="40"/>
      <c r="Q33" s="41">
        <f t="shared" si="6"/>
        <v>0</v>
      </c>
    </row>
    <row r="34" ht="95.25" customHeight="1">
      <c r="A34" s="1"/>
      <c r="B34" s="40">
        <v>24</v>
      </c>
      <c r="C34" s="81" t="s">
        <v>84</v>
      </c>
      <c r="D34" s="40" t="s">
        <v>85</v>
      </c>
      <c r="E34" s="40">
        <v>2</v>
      </c>
      <c r="G34" s="78">
        <v>6018</v>
      </c>
      <c r="H34" s="45"/>
      <c r="I34" s="45"/>
      <c r="J34" s="40"/>
      <c r="K34" s="82"/>
      <c r="L34" s="63"/>
      <c r="M34" s="69"/>
      <c r="N34" s="39"/>
      <c r="O34" s="40">
        <f t="shared" si="5"/>
        <v>0</v>
      </c>
      <c r="P34" s="40"/>
      <c r="Q34" s="41">
        <f t="shared" si="6"/>
        <v>0</v>
      </c>
    </row>
    <row r="35" ht="101.25" customHeight="1">
      <c r="A35" s="1"/>
      <c r="B35" s="43">
        <v>25</v>
      </c>
      <c r="C35" s="81" t="s">
        <v>86</v>
      </c>
      <c r="D35" s="40" t="s">
        <v>87</v>
      </c>
      <c r="E35" s="40">
        <v>1</v>
      </c>
      <c r="G35" s="110">
        <v>2008</v>
      </c>
      <c r="H35" s="45"/>
      <c r="I35" s="45"/>
      <c r="J35" s="40"/>
      <c r="K35" s="82"/>
      <c r="L35" s="63"/>
      <c r="M35" s="69"/>
      <c r="N35" s="39"/>
      <c r="O35" s="40">
        <f t="shared" si="5"/>
        <v>0</v>
      </c>
      <c r="P35" s="40"/>
      <c r="Q35" s="41">
        <f t="shared" si="6"/>
        <v>0</v>
      </c>
    </row>
    <row r="36" s="32" customFormat="1" ht="58.5" customHeight="1">
      <c r="A36" s="113"/>
      <c r="B36" s="40">
        <v>26</v>
      </c>
      <c r="C36" s="81" t="s">
        <v>88</v>
      </c>
      <c r="D36" s="40" t="s">
        <v>89</v>
      </c>
      <c r="E36" s="40">
        <v>4</v>
      </c>
      <c r="F36" s="40"/>
      <c r="G36" s="97">
        <v>5017</v>
      </c>
      <c r="H36" s="40">
        <v>1.5</v>
      </c>
      <c r="I36" s="40">
        <v>0.29999999999999999</v>
      </c>
      <c r="J36" s="40">
        <v>0.021000000000000001</v>
      </c>
      <c r="K36" s="82">
        <f t="shared" si="4"/>
        <v>0.0094500000000000001</v>
      </c>
      <c r="L36" s="63">
        <f t="shared" si="1"/>
        <v>0.0378</v>
      </c>
      <c r="M36" s="69" t="s">
        <v>62</v>
      </c>
      <c r="N36" s="39">
        <v>4</v>
      </c>
      <c r="O36" s="40">
        <f t="shared" si="5"/>
        <v>16</v>
      </c>
      <c r="P36" s="40"/>
      <c r="Q36" s="41">
        <f t="shared" si="6"/>
        <v>0</v>
      </c>
    </row>
    <row r="37" s="32" customFormat="1" ht="58.5" customHeight="1">
      <c r="A37" s="113"/>
      <c r="B37" s="43">
        <v>27</v>
      </c>
      <c r="C37" s="81" t="s">
        <v>90</v>
      </c>
      <c r="D37" s="40" t="s">
        <v>91</v>
      </c>
      <c r="E37" s="40">
        <v>4</v>
      </c>
      <c r="F37" s="40"/>
      <c r="G37" s="110">
        <v>2008</v>
      </c>
      <c r="H37" s="40">
        <v>1.5</v>
      </c>
      <c r="I37" s="40">
        <v>0.29999999999999999</v>
      </c>
      <c r="J37" s="40">
        <v>0.021000000000000001</v>
      </c>
      <c r="K37" s="82">
        <f t="shared" si="4"/>
        <v>0.0094500000000000001</v>
      </c>
      <c r="L37" s="63">
        <f t="shared" si="1"/>
        <v>0.0378</v>
      </c>
      <c r="M37" s="69" t="s">
        <v>62</v>
      </c>
      <c r="N37" s="39">
        <v>4</v>
      </c>
      <c r="O37" s="40">
        <f t="shared" si="5"/>
        <v>16</v>
      </c>
      <c r="P37" s="40"/>
      <c r="Q37" s="41">
        <f t="shared" si="6"/>
        <v>0</v>
      </c>
    </row>
    <row r="38" s="32" customFormat="1" ht="58.5" customHeight="1">
      <c r="A38" s="113"/>
      <c r="B38" s="40">
        <v>28</v>
      </c>
      <c r="C38" s="81" t="s">
        <v>92</v>
      </c>
      <c r="D38" s="40" t="s">
        <v>93</v>
      </c>
      <c r="E38" s="40">
        <v>8</v>
      </c>
      <c r="F38" s="40"/>
      <c r="G38" s="97">
        <v>5017</v>
      </c>
      <c r="H38" s="40">
        <v>0.14999999999999999</v>
      </c>
      <c r="I38" s="40">
        <v>0.20000000000000001</v>
      </c>
      <c r="J38" s="40">
        <v>0.014999999999999999</v>
      </c>
      <c r="K38" s="82">
        <f t="shared" si="4"/>
        <v>0.00044999999999999999</v>
      </c>
      <c r="L38" s="63">
        <f t="shared" si="1"/>
        <v>0.0035999999999999999</v>
      </c>
      <c r="M38" s="38"/>
      <c r="N38" s="39"/>
      <c r="O38" s="40">
        <f t="shared" si="5"/>
        <v>0</v>
      </c>
      <c r="P38" s="40"/>
      <c r="Q38" s="41">
        <f t="shared" si="6"/>
        <v>0</v>
      </c>
    </row>
    <row r="39" s="32" customFormat="1" ht="64.5" customHeight="1">
      <c r="A39" s="113"/>
      <c r="B39" s="43">
        <v>29</v>
      </c>
      <c r="C39" s="81" t="s">
        <v>94</v>
      </c>
      <c r="D39" s="40" t="s">
        <v>95</v>
      </c>
      <c r="E39" s="40">
        <v>4</v>
      </c>
      <c r="F39" s="40"/>
      <c r="G39" s="78">
        <v>6018</v>
      </c>
      <c r="H39" s="40">
        <v>1.5</v>
      </c>
      <c r="I39" s="40">
        <v>1.8999999999999999</v>
      </c>
      <c r="J39" s="40">
        <v>0.021000000000000001</v>
      </c>
      <c r="K39" s="82">
        <f t="shared" si="4"/>
        <v>0.059849999999999993</v>
      </c>
      <c r="L39" s="63">
        <f t="shared" si="1"/>
        <v>0.23939999999999997</v>
      </c>
      <c r="M39" s="38"/>
      <c r="N39" s="39"/>
      <c r="O39" s="40">
        <f t="shared" si="5"/>
        <v>0</v>
      </c>
      <c r="P39" s="40"/>
      <c r="Q39" s="41">
        <f t="shared" si="6"/>
        <v>0</v>
      </c>
    </row>
    <row r="40" s="32" customFormat="1" ht="41.25" customHeight="1">
      <c r="A40" s="113"/>
      <c r="B40" s="40">
        <v>30</v>
      </c>
      <c r="C40" s="81" t="s">
        <v>96</v>
      </c>
      <c r="D40" s="40" t="s">
        <v>97</v>
      </c>
      <c r="E40" s="40">
        <v>2</v>
      </c>
      <c r="F40" s="40"/>
      <c r="G40" s="114">
        <v>3020</v>
      </c>
      <c r="H40" s="40">
        <v>0.45000000000000001</v>
      </c>
      <c r="I40" s="40">
        <v>0.080000000000000002</v>
      </c>
      <c r="J40" s="40">
        <v>0.021000000000000001</v>
      </c>
      <c r="K40" s="83">
        <f t="shared" si="4"/>
        <v>0.00075600000000000016</v>
      </c>
      <c r="L40" s="63">
        <f t="shared" si="1"/>
        <v>0.0015120000000000003</v>
      </c>
      <c r="M40" s="69" t="s">
        <v>79</v>
      </c>
      <c r="N40" s="39">
        <v>2</v>
      </c>
      <c r="O40" s="40">
        <f t="shared" si="5"/>
        <v>4</v>
      </c>
      <c r="P40" s="40"/>
      <c r="Q40" s="41">
        <f t="shared" si="6"/>
        <v>0</v>
      </c>
    </row>
    <row r="41" s="32" customFormat="1" ht="45.75" customHeight="1">
      <c r="A41" s="113"/>
      <c r="B41" s="43">
        <v>31</v>
      </c>
      <c r="C41" s="81" t="s">
        <v>98</v>
      </c>
      <c r="D41" s="40" t="s">
        <v>99</v>
      </c>
      <c r="E41" s="40">
        <v>20</v>
      </c>
      <c r="F41" s="40"/>
      <c r="G41" s="40" t="s">
        <v>100</v>
      </c>
      <c r="H41" s="40">
        <v>0.11</v>
      </c>
      <c r="I41" s="40">
        <v>0.11</v>
      </c>
      <c r="J41" s="40">
        <v>0.014999999999999999</v>
      </c>
      <c r="K41" s="82">
        <f t="shared" si="4"/>
        <v>0.00018149999999999999</v>
      </c>
      <c r="L41" s="63">
        <f t="shared" si="1"/>
        <v>0.00363</v>
      </c>
      <c r="M41" s="38"/>
      <c r="N41" s="39"/>
      <c r="O41" s="40">
        <f t="shared" si="5"/>
        <v>0</v>
      </c>
      <c r="P41" s="40"/>
      <c r="Q41" s="41">
        <f t="shared" si="6"/>
        <v>0</v>
      </c>
    </row>
    <row r="42" s="32" customFormat="1" ht="54" customHeight="1">
      <c r="A42" s="113"/>
      <c r="B42" s="40">
        <v>32</v>
      </c>
      <c r="C42" s="115" t="s">
        <v>101</v>
      </c>
      <c r="D42" s="96" t="s">
        <v>102</v>
      </c>
      <c r="E42" s="40">
        <v>2</v>
      </c>
      <c r="F42" s="45"/>
      <c r="G42" s="110">
        <v>2008</v>
      </c>
      <c r="H42" s="45">
        <v>0.34999999999999998</v>
      </c>
      <c r="I42" s="45">
        <v>0.33800000000000002</v>
      </c>
      <c r="J42" s="40">
        <v>0.021000000000000001</v>
      </c>
      <c r="K42" s="82">
        <v>0.0017745</v>
      </c>
      <c r="L42" s="63">
        <f t="shared" si="1"/>
        <v>0.0035490000000000001</v>
      </c>
      <c r="M42" s="69" t="s">
        <v>79</v>
      </c>
      <c r="N42" s="39">
        <v>2</v>
      </c>
      <c r="O42" s="40">
        <f t="shared" si="5"/>
        <v>4</v>
      </c>
      <c r="P42" s="40"/>
      <c r="Q42" s="41">
        <f t="shared" si="6"/>
        <v>0</v>
      </c>
    </row>
    <row r="43" s="32" customFormat="1" ht="57" customHeight="1">
      <c r="A43" s="113"/>
      <c r="B43" s="43">
        <v>33</v>
      </c>
      <c r="C43" s="115" t="s">
        <v>103</v>
      </c>
      <c r="D43" s="96" t="s">
        <v>104</v>
      </c>
      <c r="E43" s="40">
        <v>1</v>
      </c>
      <c r="F43" s="40"/>
      <c r="G43" s="78">
        <v>6018</v>
      </c>
      <c r="H43" s="40">
        <v>0.62</v>
      </c>
      <c r="I43" s="40">
        <v>0.25</v>
      </c>
      <c r="J43" s="40">
        <v>0.021000000000000001</v>
      </c>
      <c r="K43" s="82">
        <v>0.0027899999999999999</v>
      </c>
      <c r="L43" s="63">
        <f t="shared" si="1"/>
        <v>0.0027899999999999999</v>
      </c>
      <c r="M43" s="38"/>
      <c r="N43" s="39"/>
      <c r="O43" s="40">
        <f t="shared" si="5"/>
        <v>0</v>
      </c>
      <c r="P43" s="40"/>
      <c r="Q43" s="41">
        <f t="shared" si="6"/>
        <v>0</v>
      </c>
    </row>
    <row r="44" s="32" customFormat="1" ht="75.75" customHeight="1">
      <c r="A44" s="116"/>
      <c r="B44" s="40">
        <v>34</v>
      </c>
      <c r="C44" s="117" t="s">
        <v>65</v>
      </c>
      <c r="D44" s="45" t="s">
        <v>66</v>
      </c>
      <c r="E44" s="58">
        <v>28</v>
      </c>
      <c r="F44" s="58"/>
      <c r="G44" s="118">
        <v>7047</v>
      </c>
      <c r="H44" s="58"/>
      <c r="I44" s="58"/>
      <c r="J44" s="58"/>
      <c r="K44" s="119">
        <v>0.0001</v>
      </c>
      <c r="L44" s="63">
        <f t="shared" si="1"/>
        <v>0.0028</v>
      </c>
      <c r="M44" s="69" t="s">
        <v>67</v>
      </c>
      <c r="N44" s="39">
        <v>2</v>
      </c>
      <c r="O44" s="40">
        <f t="shared" si="5"/>
        <v>56</v>
      </c>
      <c r="P44" s="40"/>
      <c r="Q44" s="41">
        <f t="shared" si="6"/>
        <v>0</v>
      </c>
    </row>
    <row r="45" s="32" customFormat="1" ht="27.75" customHeight="1">
      <c r="A45" s="120"/>
      <c r="B45" s="121" t="s">
        <v>105</v>
      </c>
      <c r="C45" s="122"/>
      <c r="D45" s="122"/>
      <c r="E45" s="122"/>
      <c r="F45" s="122"/>
      <c r="G45" s="122"/>
      <c r="H45" s="122"/>
      <c r="I45" s="122"/>
      <c r="J45" s="122"/>
      <c r="K45" s="123"/>
      <c r="L45" s="63">
        <f t="shared" si="1"/>
        <v>0</v>
      </c>
      <c r="M45" s="38"/>
      <c r="N45" s="39"/>
      <c r="O45" s="40">
        <f t="shared" si="5"/>
        <v>0</v>
      </c>
      <c r="P45" s="40"/>
      <c r="Q45" s="41">
        <f t="shared" si="6"/>
        <v>0</v>
      </c>
    </row>
    <row r="46" s="32" customFormat="1" ht="42.75" customHeight="1">
      <c r="A46" s="124"/>
      <c r="B46" s="43">
        <v>35</v>
      </c>
      <c r="C46" s="81" t="s">
        <v>106</v>
      </c>
      <c r="D46" s="40" t="s">
        <v>107</v>
      </c>
      <c r="E46" s="40">
        <v>2</v>
      </c>
      <c r="F46" s="40"/>
      <c r="G46" s="118">
        <v>7047</v>
      </c>
      <c r="H46" s="40">
        <v>0.59999999999999998</v>
      </c>
      <c r="I46" s="40">
        <v>0.021000000000000001</v>
      </c>
      <c r="J46" s="40">
        <v>0.20999999999999999</v>
      </c>
      <c r="K46" s="82">
        <f t="shared" si="4"/>
        <v>0.0026459999999999999</v>
      </c>
      <c r="L46" s="63">
        <f t="shared" si="1"/>
        <v>0.0052919999999999998</v>
      </c>
      <c r="M46" s="38"/>
      <c r="N46" s="39"/>
      <c r="O46" s="40">
        <f t="shared" si="5"/>
        <v>0</v>
      </c>
      <c r="P46" s="40"/>
      <c r="Q46" s="41">
        <f t="shared" si="6"/>
        <v>0</v>
      </c>
    </row>
    <row r="47" s="32" customFormat="1" ht="110.25" customHeight="1">
      <c r="A47" s="125"/>
      <c r="B47" s="126" t="s">
        <v>108</v>
      </c>
      <c r="C47" s="127" t="s">
        <v>109</v>
      </c>
      <c r="D47" s="128" t="s">
        <v>110</v>
      </c>
      <c r="E47" s="128">
        <v>1</v>
      </c>
      <c r="G47" s="118">
        <v>7047</v>
      </c>
      <c r="H47" s="128">
        <v>0.61599999999999999</v>
      </c>
      <c r="I47" s="128">
        <v>0.040000000000000001</v>
      </c>
      <c r="J47" s="128">
        <v>0.10000000000000001</v>
      </c>
      <c r="K47" s="129">
        <v>0.002464</v>
      </c>
      <c r="L47" s="63">
        <f t="shared" si="1"/>
        <v>0.002464</v>
      </c>
      <c r="M47" s="69" t="s">
        <v>62</v>
      </c>
      <c r="N47" s="39">
        <v>4</v>
      </c>
      <c r="O47" s="40">
        <f t="shared" si="5"/>
        <v>4</v>
      </c>
      <c r="P47" s="40"/>
      <c r="Q47" s="41">
        <f t="shared" si="6"/>
        <v>0</v>
      </c>
    </row>
    <row r="48" s="32" customFormat="1" ht="27.75" customHeight="1">
      <c r="A48" s="120"/>
      <c r="B48" s="121" t="s">
        <v>111</v>
      </c>
      <c r="C48" s="122"/>
      <c r="D48" s="122"/>
      <c r="E48" s="122"/>
      <c r="F48" s="122"/>
      <c r="G48" s="122"/>
      <c r="H48" s="122"/>
      <c r="I48" s="122"/>
      <c r="J48" s="122"/>
      <c r="K48" s="130"/>
      <c r="L48" s="63">
        <f t="shared" si="1"/>
        <v>0</v>
      </c>
      <c r="M48" s="38"/>
      <c r="N48" s="39"/>
      <c r="O48" s="40">
        <f t="shared" si="5"/>
        <v>0</v>
      </c>
      <c r="P48" s="40"/>
      <c r="Q48" s="41">
        <f t="shared" si="6"/>
        <v>0</v>
      </c>
    </row>
    <row r="49" s="32" customFormat="1" ht="174.75" customHeight="1">
      <c r="A49" s="131"/>
      <c r="B49" s="77" t="s">
        <v>112</v>
      </c>
      <c r="C49" s="48" t="s">
        <v>113</v>
      </c>
      <c r="D49" s="48" t="s">
        <v>114</v>
      </c>
      <c r="E49" s="48">
        <v>1</v>
      </c>
      <c r="F49" s="48"/>
      <c r="G49" s="132" t="s">
        <v>115</v>
      </c>
      <c r="H49" s="48">
        <v>1.3</v>
      </c>
      <c r="I49" s="48">
        <v>0.59999999999999998</v>
      </c>
      <c r="J49" s="48">
        <v>1.55</v>
      </c>
      <c r="K49" s="133">
        <v>0.53100000000000003</v>
      </c>
      <c r="L49" s="37">
        <f t="shared" si="1"/>
        <v>0.53100000000000003</v>
      </c>
      <c r="M49" s="69" t="s">
        <v>62</v>
      </c>
      <c r="N49" s="39">
        <v>4</v>
      </c>
      <c r="O49" s="40">
        <f t="shared" si="5"/>
        <v>4</v>
      </c>
      <c r="P49" s="40"/>
      <c r="Q49" s="41">
        <f t="shared" si="6"/>
        <v>0</v>
      </c>
    </row>
    <row r="50" s="32" customFormat="1" ht="27.75" customHeight="1">
      <c r="A50" s="120"/>
      <c r="B50" s="121" t="s">
        <v>116</v>
      </c>
      <c r="C50" s="122"/>
      <c r="D50" s="122"/>
      <c r="E50" s="122"/>
      <c r="F50" s="122"/>
      <c r="G50" s="122"/>
      <c r="H50" s="122"/>
      <c r="I50" s="122"/>
      <c r="J50" s="122"/>
      <c r="K50" s="130"/>
      <c r="L50" s="63">
        <f>K50*E50</f>
        <v>0</v>
      </c>
      <c r="M50" s="38"/>
      <c r="N50" s="39"/>
      <c r="O50" s="40">
        <f t="shared" si="5"/>
        <v>0</v>
      </c>
      <c r="P50" s="40"/>
      <c r="Q50" s="41">
        <f t="shared" si="6"/>
        <v>0</v>
      </c>
    </row>
    <row r="51" ht="58.5" customHeight="1">
      <c r="A51" s="134"/>
      <c r="B51" s="77" t="s">
        <v>117</v>
      </c>
      <c r="C51" s="135" t="s">
        <v>118</v>
      </c>
      <c r="D51" s="135" t="s">
        <v>119</v>
      </c>
      <c r="E51" s="136">
        <v>27</v>
      </c>
      <c r="F51" s="137"/>
      <c r="G51" s="135" t="s">
        <v>120</v>
      </c>
      <c r="H51" s="135">
        <v>0.027</v>
      </c>
      <c r="I51" s="135">
        <v>0.027</v>
      </c>
      <c r="J51" s="135">
        <v>0.016</v>
      </c>
      <c r="K51" s="138">
        <f t="shared" si="4"/>
        <v>1.1663999999999999e-05</v>
      </c>
      <c r="L51" s="37">
        <f t="shared" si="1"/>
        <v>0.00031492799999999996</v>
      </c>
      <c r="M51" s="28"/>
      <c r="N51" s="29"/>
      <c r="O51" s="40">
        <f t="shared" si="5"/>
        <v>0</v>
      </c>
      <c r="P51" s="40"/>
      <c r="Q51" s="41">
        <f t="shared" si="6"/>
        <v>0</v>
      </c>
    </row>
    <row r="52" ht="66.75" customHeight="1">
      <c r="A52" s="134"/>
      <c r="B52" s="81" t="s">
        <v>121</v>
      </c>
      <c r="C52" s="45" t="s">
        <v>122</v>
      </c>
      <c r="D52" s="45" t="s">
        <v>123</v>
      </c>
      <c r="E52" s="139">
        <v>234</v>
      </c>
      <c r="F52" s="30"/>
      <c r="G52" s="45" t="s">
        <v>120</v>
      </c>
      <c r="H52" s="45">
        <v>0.035999999999999997</v>
      </c>
      <c r="I52" s="45">
        <v>0.035999999999999997</v>
      </c>
      <c r="J52" s="45">
        <v>0.023</v>
      </c>
      <c r="K52" s="140">
        <f t="shared" si="4"/>
        <v>2.9807999999999996e-05</v>
      </c>
      <c r="L52" s="37">
        <f t="shared" si="1"/>
        <v>0.0069750719999999988</v>
      </c>
      <c r="M52" s="28"/>
      <c r="N52" s="29"/>
      <c r="O52" s="40">
        <f t="shared" si="5"/>
        <v>0</v>
      </c>
      <c r="P52" s="40"/>
      <c r="Q52" s="41">
        <f t="shared" si="6"/>
        <v>0</v>
      </c>
    </row>
    <row r="53" ht="66.75" customHeight="1">
      <c r="A53" s="141"/>
      <c r="B53" s="142" t="s">
        <v>124</v>
      </c>
      <c r="C53" s="57" t="s">
        <v>125</v>
      </c>
      <c r="D53" s="57" t="s">
        <v>126</v>
      </c>
      <c r="E53" s="8">
        <v>10</v>
      </c>
      <c r="F53" s="143"/>
      <c r="G53" s="57" t="s">
        <v>120</v>
      </c>
      <c r="H53" s="57">
        <v>0.10000000000000001</v>
      </c>
      <c r="I53" s="57">
        <v>0.10000000000000001</v>
      </c>
      <c r="J53" s="57">
        <v>0.043999999999999997</v>
      </c>
      <c r="K53" s="144">
        <f t="shared" si="4"/>
        <v>0.00044000000000000007</v>
      </c>
      <c r="L53" s="145">
        <f t="shared" si="1"/>
        <v>0.0044000000000000011</v>
      </c>
      <c r="M53" s="146"/>
      <c r="N53" s="147"/>
      <c r="O53" s="58">
        <f t="shared" si="5"/>
        <v>0</v>
      </c>
      <c r="P53" s="58"/>
      <c r="Q53" s="41">
        <f t="shared" si="6"/>
        <v>0</v>
      </c>
    </row>
    <row r="54" ht="16.5">
      <c r="M54" s="148">
        <f>SUM(M6:M53)</f>
        <v>0</v>
      </c>
      <c r="N54" s="149"/>
      <c r="O54" s="149">
        <f>SUM(O7:O53)</f>
        <v>258</v>
      </c>
      <c r="Q54" s="32">
        <f>SUM(Q7:Q53)</f>
        <v>55</v>
      </c>
    </row>
  </sheetData>
  <mergeCells count="11">
    <mergeCell ref="A1:K1"/>
    <mergeCell ref="B2:K2"/>
    <mergeCell ref="B3:K3"/>
    <mergeCell ref="B4:K4"/>
    <mergeCell ref="B6:K6"/>
    <mergeCell ref="B14:K14"/>
    <mergeCell ref="B22:K22"/>
    <mergeCell ref="B27:K27"/>
    <mergeCell ref="B45:K45"/>
    <mergeCell ref="B48:K48"/>
    <mergeCell ref="B50:K50"/>
  </mergeCells>
  <printOptions headings="0" gridLines="0"/>
  <pageMargins left="0.70866141732283461" right="0.70866141732283461" top="0.74803149606299213" bottom="0.74803149606299213" header="0.31496062992125984" footer="0.31496062992125984"/>
  <pageSetup paperSize="9" scale="38" firstPageNumber="1" fitToWidth="1" fitToHeight="0" pageOrder="downThenOver" orientation="portrait" usePrinterDefaults="1" blackAndWhite="0" draft="0" cellComments="none" useFirstPageNumber="1" errors="displayed" horizontalDpi="2147483648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Вероника Прокина</cp:lastModifiedBy>
  <cp:revision>1</cp:revision>
  <dcterms:created xsi:type="dcterms:W3CDTF">2017-04-27T07:18:00Z</dcterms:created>
  <dcterms:modified xsi:type="dcterms:W3CDTF">2024-05-17T16:05:34Z</dcterms:modified>
</cp:coreProperties>
</file>