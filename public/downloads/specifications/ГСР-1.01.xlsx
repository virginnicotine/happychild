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9157A77F-830F-4707-A596-467CEA7344D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1" l="1"/>
  <c r="F82" i="1"/>
  <c r="H112" i="1"/>
  <c r="H106" i="1"/>
  <c r="F106" i="1"/>
  <c r="H105" i="1"/>
  <c r="H141" i="1"/>
  <c r="H142" i="1"/>
  <c r="H143" i="1"/>
  <c r="E172" i="1"/>
  <c r="E161" i="1"/>
  <c r="E162" i="1"/>
  <c r="E160" i="1"/>
  <c r="E170" i="1"/>
  <c r="E165" i="1"/>
  <c r="H132" i="1"/>
  <c r="I132" i="1" s="1"/>
  <c r="H121" i="1"/>
  <c r="I121" i="1" s="1"/>
  <c r="H122" i="1"/>
  <c r="I122" i="1" s="1"/>
  <c r="H120" i="1"/>
  <c r="I120" i="1" s="1"/>
  <c r="H131" i="1"/>
  <c r="I131" i="1" s="1"/>
  <c r="H129" i="1"/>
  <c r="I129" i="1" s="1"/>
  <c r="H130" i="1"/>
  <c r="I130" i="1" s="1"/>
  <c r="H127" i="1"/>
  <c r="I127" i="1" s="1"/>
  <c r="H128" i="1"/>
  <c r="I128" i="1" s="1"/>
  <c r="H126" i="1"/>
  <c r="I126" i="1" s="1"/>
  <c r="D148" i="1" s="1"/>
  <c r="H119" i="1"/>
  <c r="I119" i="1" s="1"/>
  <c r="E168" i="1" l="1"/>
  <c r="E166" i="1"/>
  <c r="H117" i="1"/>
  <c r="I117" i="1" s="1"/>
  <c r="H118" i="1"/>
  <c r="I118" i="1" s="1"/>
  <c r="H116" i="1"/>
  <c r="I116" i="1" s="1"/>
  <c r="H87" i="1"/>
  <c r="I87" i="1" s="1"/>
  <c r="H86" i="1"/>
  <c r="I86" i="1" s="1"/>
  <c r="H88" i="1"/>
  <c r="I88" i="1" s="1"/>
  <c r="H69" i="1"/>
  <c r="I69" i="1" s="1"/>
  <c r="H67" i="1"/>
  <c r="I67" i="1" s="1"/>
  <c r="D151" i="1" s="1"/>
  <c r="H68" i="1"/>
  <c r="I68" i="1" s="1"/>
  <c r="D153" i="1" s="1"/>
  <c r="H66" i="1"/>
  <c r="I66" i="1" s="1"/>
  <c r="D149" i="1" l="1"/>
  <c r="D152" i="1"/>
  <c r="H65" i="1"/>
  <c r="I65" i="1" s="1"/>
  <c r="D150" i="1" s="1"/>
  <c r="E94" i="1"/>
  <c r="E46" i="1"/>
  <c r="E45" i="1"/>
  <c r="E169" i="1" s="1"/>
  <c r="E44" i="1"/>
  <c r="E42" i="1"/>
  <c r="E41" i="1"/>
  <c r="Q32" i="1"/>
  <c r="T21" i="1"/>
  <c r="T22" i="1"/>
  <c r="R18" i="1"/>
  <c r="R17" i="1"/>
  <c r="R20" i="1"/>
  <c r="R13" i="1"/>
  <c r="S8" i="1"/>
  <c r="S32" i="1" s="1"/>
  <c r="O31" i="1"/>
  <c r="K31" i="1"/>
  <c r="P31" i="1" s="1"/>
  <c r="O30" i="1"/>
  <c r="K30" i="1"/>
  <c r="P30" i="1" s="1"/>
  <c r="O29" i="1"/>
  <c r="K29" i="1"/>
  <c r="P29" i="1" s="1"/>
  <c r="P28" i="1"/>
  <c r="O28" i="1"/>
  <c r="P27" i="1"/>
  <c r="O27" i="1"/>
  <c r="M27" i="1"/>
  <c r="P26" i="1"/>
  <c r="O26" i="1"/>
  <c r="P25" i="1"/>
  <c r="O25" i="1"/>
  <c r="M25" i="1"/>
  <c r="P24" i="1"/>
  <c r="O24" i="1"/>
  <c r="P23" i="1"/>
  <c r="O23" i="1"/>
  <c r="O22" i="1"/>
  <c r="K22" i="1"/>
  <c r="P22" i="1" s="1"/>
  <c r="O21" i="1"/>
  <c r="K21" i="1"/>
  <c r="P21" i="1" s="1"/>
  <c r="O20" i="1"/>
  <c r="M20" i="1"/>
  <c r="K20" i="1"/>
  <c r="P20" i="1" s="1"/>
  <c r="P19" i="1"/>
  <c r="O19" i="1"/>
  <c r="P18" i="1"/>
  <c r="M18" i="1"/>
  <c r="P17" i="1"/>
  <c r="M17" i="1"/>
  <c r="E16" i="1"/>
  <c r="P16" i="1" s="1"/>
  <c r="O15" i="1"/>
  <c r="K15" i="1"/>
  <c r="P15" i="1" s="1"/>
  <c r="M14" i="1"/>
  <c r="K14" i="1"/>
  <c r="P14" i="1" s="1"/>
  <c r="P12" i="1"/>
  <c r="O12" i="1"/>
  <c r="P11" i="1"/>
  <c r="O11" i="1"/>
  <c r="O10" i="1"/>
  <c r="K10" i="1"/>
  <c r="P10" i="1" s="1"/>
  <c r="P9" i="1"/>
  <c r="O9" i="1"/>
  <c r="O8" i="1"/>
  <c r="M8" i="1"/>
  <c r="K8" i="1"/>
  <c r="P8" i="1" s="1"/>
  <c r="K7" i="1"/>
  <c r="P7" i="1" s="1"/>
  <c r="K6" i="1"/>
  <c r="P6" i="1" s="1"/>
  <c r="O32" i="1" l="1"/>
  <c r="R32" i="1"/>
  <c r="T32" i="1"/>
  <c r="M32" i="1"/>
  <c r="P32" i="1"/>
</calcChain>
</file>

<file path=xl/sharedStrings.xml><?xml version="1.0" encoding="utf-8"?>
<sst xmlns="http://schemas.openxmlformats.org/spreadsheetml/2006/main" count="353" uniqueCount="177">
  <si>
    <t>ГСР-1.01</t>
  </si>
  <si>
    <t>Размер 3,30 х 0,85 х 1,70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</si>
  <si>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</si>
  <si>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</si>
  <si>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</si>
  <si>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</si>
  <si>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</si>
  <si>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</si>
  <si>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</si>
  <si>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</si>
  <si>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</si>
  <si>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</si>
  <si>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</si>
  <si>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</si>
  <si>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</si>
  <si>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</si>
  <si>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</si>
  <si>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СТОЛБЫ</t>
  </si>
  <si>
    <t>0004ДБ</t>
  </si>
  <si>
    <t>Столб (брус 100х100)  1000 мм</t>
  </si>
  <si>
    <t>тик</t>
  </si>
  <si>
    <t>0007ДБ</t>
  </si>
  <si>
    <t>Столб (брус 100х100)  1700 мм</t>
  </si>
  <si>
    <t>0013МП</t>
  </si>
  <si>
    <t>Закладная для столба 100х100</t>
  </si>
  <si>
    <t>ПЛОЩАДКИ</t>
  </si>
  <si>
    <t>0003СБ</t>
  </si>
  <si>
    <t>Площадка квадратная 800х800 мм (СБ)</t>
  </si>
  <si>
    <t>0193МП</t>
  </si>
  <si>
    <t>Уголок крепления площадки</t>
  </si>
  <si>
    <t>ЛЕСТНИЦЫ</t>
  </si>
  <si>
    <t>Лестница на высоту 900 мм (СБ) С ПЕРИЛАМИ</t>
  </si>
  <si>
    <t>6</t>
  </si>
  <si>
    <t>000029</t>
  </si>
  <si>
    <t>Тетива (лестница 900)
1249 x 269 x 21</t>
  </si>
  <si>
    <t>7</t>
  </si>
  <si>
    <t>000023</t>
  </si>
  <si>
    <t>Ступень 600х150
600 x 150 x 18</t>
  </si>
  <si>
    <t>_</t>
  </si>
  <si>
    <t>8</t>
  </si>
  <si>
    <t>0003МП</t>
  </si>
  <si>
    <t>Уголок крепления фанеры 55х55х40</t>
  </si>
  <si>
    <t>9</t>
  </si>
  <si>
    <t>000030</t>
  </si>
  <si>
    <t xml:space="preserve">Перила (лестница 900)
1217 x 150 x 21 </t>
  </si>
  <si>
    <t>10</t>
  </si>
  <si>
    <t>ПАНЕЛИ</t>
  </si>
  <si>
    <t>ЭЛЕМЕНТЫ ДОМИКОВ  1.08</t>
  </si>
  <si>
    <t>000031</t>
  </si>
  <si>
    <t>Панель Галка 800х700
800 x 700 x 21</t>
  </si>
  <si>
    <t>000032</t>
  </si>
  <si>
    <t xml:space="preserve">Накладка панели Галка 800
300 x 50 x 15 </t>
  </si>
  <si>
    <t>000033</t>
  </si>
  <si>
    <t xml:space="preserve">Накл. Галка (фронт крыши 800x800)
438 x 349 x 15 </t>
  </si>
  <si>
    <t>Горка</t>
  </si>
  <si>
    <t>15</t>
  </si>
  <si>
    <t>0006СБ</t>
  </si>
  <si>
    <t>Горка 900мм в сборе</t>
  </si>
  <si>
    <t>МЕТАЛЛ</t>
  </si>
  <si>
    <t>16</t>
  </si>
  <si>
    <t>ПЛАСТИК</t>
  </si>
  <si>
    <t>17</t>
  </si>
  <si>
    <t>КЧМ6КС</t>
  </si>
  <si>
    <t>Заглушка пластиковая на болт М6 (черные)</t>
  </si>
  <si>
    <t>Черный</t>
  </si>
  <si>
    <t>18</t>
  </si>
  <si>
    <t>КЧМ8КС</t>
  </si>
  <si>
    <t>Заглушка пластиковая на болт М8-10 (черные)</t>
  </si>
  <si>
    <t>19</t>
  </si>
  <si>
    <t>100-100.11КК</t>
  </si>
  <si>
    <t>Заглушка пластиковая на столб 90х90 мм (черные)</t>
  </si>
  <si>
    <t>М10х160</t>
  </si>
  <si>
    <t>М10</t>
  </si>
  <si>
    <t>М8х80</t>
  </si>
  <si>
    <t>М8х60</t>
  </si>
  <si>
    <t>б м6х55</t>
  </si>
  <si>
    <t>Глухарь</t>
  </si>
  <si>
    <t>Меб. Болт.</t>
  </si>
  <si>
    <t>М6х55</t>
  </si>
  <si>
    <t>шт.</t>
  </si>
  <si>
    <t>размер</t>
  </si>
  <si>
    <t>эл. Крепежа.</t>
  </si>
  <si>
    <t>Шайба</t>
  </si>
  <si>
    <t>М12</t>
  </si>
  <si>
    <t>М8</t>
  </si>
  <si>
    <t>М6</t>
  </si>
  <si>
    <t>Метизы для монтажа</t>
  </si>
  <si>
    <t>гайка</t>
  </si>
  <si>
    <t>Сборочные детали:</t>
  </si>
  <si>
    <t>уголок</t>
  </si>
  <si>
    <t>55х55х40 90гр.</t>
  </si>
  <si>
    <t>Меб. Болт</t>
  </si>
  <si>
    <t>М6х40</t>
  </si>
  <si>
    <t>Гайка</t>
  </si>
  <si>
    <t>Заглушка</t>
  </si>
  <si>
    <t>Площадка квадратная 800х800</t>
  </si>
  <si>
    <t>100-100.11.КК</t>
  </si>
  <si>
    <t>крпеление площадки</t>
  </si>
  <si>
    <t>М6х75</t>
  </si>
  <si>
    <t>Саморез по дереву потай</t>
  </si>
  <si>
    <t>шайба</t>
  </si>
  <si>
    <t>заглушка</t>
  </si>
  <si>
    <t>покраска</t>
  </si>
  <si>
    <t>артикул</t>
  </si>
  <si>
    <t>наименование детали</t>
  </si>
  <si>
    <t>площ. Пов.</t>
  </si>
  <si>
    <t>1 слой г/м2</t>
  </si>
  <si>
    <t>коэффицент</t>
  </si>
  <si>
    <t>0006ДБ</t>
  </si>
  <si>
    <t>Подступенок (доска 35х90х558)</t>
  </si>
  <si>
    <t>лестница 900</t>
  </si>
  <si>
    <t>горка 900</t>
  </si>
  <si>
    <t>6018</t>
  </si>
  <si>
    <t>7047</t>
  </si>
  <si>
    <t>1 шт. гр.</t>
  </si>
  <si>
    <t>комплект гр.</t>
  </si>
  <si>
    <t>9007</t>
  </si>
  <si>
    <t>уголок крепления площадки</t>
  </si>
  <si>
    <t>доска 35х90х800</t>
  </si>
  <si>
    <t>доска 35х90х530</t>
  </si>
  <si>
    <t>8014</t>
  </si>
  <si>
    <t>4.2х52</t>
  </si>
  <si>
    <t>000026</t>
  </si>
  <si>
    <t>000027</t>
  </si>
  <si>
    <t>000028</t>
  </si>
  <si>
    <t>Борт правый (горка 900) 1913х621х21</t>
  </si>
  <si>
    <t>Борт левый (горка 900) 1913х621х21</t>
  </si>
  <si>
    <t>Вставка (горка 900) 170х254х21</t>
  </si>
  <si>
    <t>5017</t>
  </si>
  <si>
    <t>покраска основные детали:</t>
  </si>
  <si>
    <t>000016</t>
  </si>
  <si>
    <t>Ограждение горки</t>
  </si>
  <si>
    <t>0006МП</t>
  </si>
  <si>
    <t>0007МП</t>
  </si>
  <si>
    <t>0008МП</t>
  </si>
  <si>
    <t>Крепление горки (506мм)</t>
  </si>
  <si>
    <t>Опора горки закладная (528мм)</t>
  </si>
  <si>
    <t>Перемычка горки (506мм)</t>
  </si>
  <si>
    <t>0084МП</t>
  </si>
  <si>
    <t>Поручень горки дуга (570мм)</t>
  </si>
  <si>
    <t>Цвет</t>
  </si>
  <si>
    <t>кол-во гр.</t>
  </si>
  <si>
    <t>Расход краски на комплекс:</t>
  </si>
  <si>
    <t>Метизы общая</t>
  </si>
  <si>
    <t>Расход металла:</t>
  </si>
  <si>
    <t>110х40</t>
  </si>
  <si>
    <t>площадь м2</t>
  </si>
  <si>
    <t>площадь на комплект м2</t>
  </si>
  <si>
    <t>масса 1шт.</t>
  </si>
  <si>
    <t>Масса комплект  кг</t>
  </si>
  <si>
    <t>деталь</t>
  </si>
  <si>
    <t>труба</t>
  </si>
  <si>
    <t>труба-1</t>
  </si>
  <si>
    <t>пластина</t>
  </si>
  <si>
    <t>длина м/площадь м2</t>
  </si>
  <si>
    <t>длина м/площадь на комплект м2</t>
  </si>
  <si>
    <t>120х40х3</t>
  </si>
  <si>
    <t>d27х3</t>
  </si>
  <si>
    <t>размер мм</t>
  </si>
  <si>
    <t>Расход металла: Закладная для столба 100х100</t>
  </si>
  <si>
    <t>Расход металла: Поручень горки дуга (570мм)</t>
  </si>
  <si>
    <t>уголок горячекатаный</t>
  </si>
  <si>
    <t>90х90х6</t>
  </si>
  <si>
    <t>40х50х3</t>
  </si>
  <si>
    <t>пластина-1</t>
  </si>
  <si>
    <t>пластина-2</t>
  </si>
  <si>
    <t>84х84х5</t>
  </si>
  <si>
    <t>Поручень дуга 570мм</t>
  </si>
  <si>
    <t>Расход металла: Крепление горки 506мм</t>
  </si>
  <si>
    <t>45х45х4</t>
  </si>
  <si>
    <t>70х40х3</t>
  </si>
  <si>
    <t>20х20х3</t>
  </si>
  <si>
    <t>Расход металла: Перемычка горки 506мм</t>
  </si>
  <si>
    <t>Расход металла: Опора горки заклдная</t>
  </si>
  <si>
    <t>dх27х3</t>
  </si>
  <si>
    <t>Расход металла: уголок для площадок</t>
  </si>
  <si>
    <t>100х100х70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</si>
</sst>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_-* #,##0.0000\ _₽_-;\-* #,##0.0000\ _₽_-;_-* &quot;-&quot;??\ _₽_-;_-@_-"/>
    <numFmt numFmtId="166" formatCode="0.000"/>
    <numFmt numFmtId="167" formatCode="0.000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theme="0"/>
      <name val="Arial"/>
      <family val="2"/>
      <charset val="204"/>
    </font>
    <font>
      <i/>
      <sz val="11"/>
      <name val="Arial"/>
      <family val="2"/>
      <charset val="204"/>
    </font>
    <font>
      <b/>
      <sz val="16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0"/>
      <color theme="1"/>
      <name val="Arial"/>
      <family val="2"/>
      <charset val="204"/>
    </font>
    <font>
      <sz val="12"/>
      <name val="Arial"/>
      <family val="2"/>
      <charset val="204"/>
    </font>
    <font>
      <i/>
      <sz val="12"/>
      <name val="Arial"/>
      <family val="2"/>
      <charset val="204"/>
    </font>
    <font>
      <i/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4" fontId="18" fillId="0" borderId="0" applyFont="0" applyFill="0" applyBorder="0" applyProtection="0"/>
  </cellStyleXfs>
  <cellXfs count="25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165" fontId="0" fillId="0" borderId="0" xfId="1" applyNumberFormat="1"/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165" fontId="10" fillId="0" borderId="10" xfId="1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11" xfId="0" applyFont="1" applyBorder="1"/>
    <xf numFmtId="0" fontId="10" fillId="0" borderId="12" xfId="0" applyFont="1" applyBorder="1"/>
    <xf numFmtId="0" fontId="1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vertical="center" wrapText="1"/>
    </xf>
    <xf numFmtId="166" fontId="13" fillId="0" borderId="16" xfId="0" applyNumberFormat="1" applyFont="1" applyBorder="1" applyAlignment="1">
      <alignment horizontal="center" vertical="center" wrapText="1"/>
    </xf>
    <xf numFmtId="166" fontId="10" fillId="0" borderId="12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textRotation="90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 inden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6" fontId="10" fillId="0" borderId="18" xfId="0" applyNumberFormat="1" applyFont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1" fillId="3" borderId="22" xfId="0" applyFont="1" applyFill="1" applyBorder="1" applyAlignment="1">
      <alignment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 indent="1"/>
    </xf>
    <xf numFmtId="166" fontId="10" fillId="0" borderId="26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0" fillId="0" borderId="28" xfId="0" applyFont="1" applyBorder="1"/>
    <xf numFmtId="0" fontId="10" fillId="0" borderId="2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 indent="1"/>
    </xf>
    <xf numFmtId="165" fontId="10" fillId="0" borderId="30" xfId="1" applyNumberFormat="1" applyFont="1" applyBorder="1" applyAlignment="1">
      <alignment vertical="center" wrapText="1"/>
    </xf>
    <xf numFmtId="0" fontId="11" fillId="3" borderId="11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0" fillId="4" borderId="7" xfId="0" applyFont="1" applyFill="1" applyBorder="1"/>
    <xf numFmtId="0" fontId="10" fillId="4" borderId="2" xfId="0" applyFont="1" applyFill="1" applyBorder="1" applyAlignment="1">
      <alignment horizontal="center" vertical="center" wrapText="1"/>
    </xf>
    <xf numFmtId="166" fontId="10" fillId="4" borderId="16" xfId="0" applyNumberFormat="1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0" borderId="23" xfId="0" applyFont="1" applyBorder="1"/>
    <xf numFmtId="49" fontId="10" fillId="0" borderId="24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166" fontId="13" fillId="0" borderId="26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 indent="1"/>
    </xf>
    <xf numFmtId="0" fontId="16" fillId="6" borderId="12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31" xfId="0" applyFont="1" applyBorder="1"/>
    <xf numFmtId="49" fontId="10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 applyAlignment="1">
      <alignment horizontal="left" vertical="center" wrapText="1" indent="1"/>
    </xf>
    <xf numFmtId="165" fontId="10" fillId="0" borderId="21" xfId="1" applyNumberFormat="1" applyFont="1" applyBorder="1" applyAlignment="1">
      <alignment vertical="center" wrapText="1"/>
    </xf>
    <xf numFmtId="0" fontId="11" fillId="3" borderId="22" xfId="0" applyFont="1" applyFill="1" applyBorder="1" applyAlignment="1">
      <alignment vertical="center" wrapText="1"/>
    </xf>
    <xf numFmtId="49" fontId="10" fillId="0" borderId="36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7" xfId="0" applyFont="1" applyBorder="1" applyAlignment="1">
      <alignment vertical="center" wrapText="1"/>
    </xf>
    <xf numFmtId="0" fontId="10" fillId="8" borderId="25" xfId="0" applyFont="1" applyFill="1" applyBorder="1" applyAlignment="1">
      <alignment horizontal="center" vertical="center"/>
    </xf>
    <xf numFmtId="166" fontId="10" fillId="0" borderId="38" xfId="0" applyNumberFormat="1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7" fontId="10" fillId="0" borderId="26" xfId="1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7" fontId="10" fillId="0" borderId="18" xfId="1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4" xfId="0" applyFont="1" applyBorder="1" applyAlignment="1">
      <alignment horizontal="center" vertical="center"/>
    </xf>
    <xf numFmtId="167" fontId="10" fillId="0" borderId="21" xfId="1" applyNumberFormat="1" applyFont="1" applyBorder="1" applyAlignment="1">
      <alignment horizontal="center" vertical="center"/>
    </xf>
    <xf numFmtId="166" fontId="0" fillId="0" borderId="0" xfId="0" applyNumberFormat="1"/>
    <xf numFmtId="165" fontId="0" fillId="0" borderId="0" xfId="1" applyNumberFormat="1" applyFont="1"/>
    <xf numFmtId="0" fontId="10" fillId="0" borderId="0" xfId="0" applyFont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0" fillId="0" borderId="43" xfId="0" applyBorder="1"/>
    <xf numFmtId="0" fontId="12" fillId="0" borderId="4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0" fillId="0" borderId="12" xfId="0" applyBorder="1"/>
    <xf numFmtId="0" fontId="6" fillId="0" borderId="12" xfId="0" applyFont="1" applyBorder="1" applyAlignment="1">
      <alignment horizontal="left" indent="1"/>
    </xf>
    <xf numFmtId="0" fontId="0" fillId="0" borderId="12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0" fillId="0" borderId="12" xfId="0" applyFont="1" applyBorder="1" applyAlignment="1">
      <alignment horizontal="left" indent="1"/>
    </xf>
    <xf numFmtId="0" fontId="20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 wrapText="1"/>
    </xf>
    <xf numFmtId="0" fontId="22" fillId="0" borderId="25" xfId="0" applyFont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49" fontId="0" fillId="0" borderId="12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/>
    <xf numFmtId="49" fontId="0" fillId="0" borderId="0" xfId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49" fontId="0" fillId="0" borderId="0" xfId="0" applyNumberFormat="1"/>
    <xf numFmtId="0" fontId="20" fillId="0" borderId="0" xfId="0" applyFont="1" applyAlignment="1">
      <alignment horizontal="left" indent="1"/>
    </xf>
    <xf numFmtId="49" fontId="3" fillId="0" borderId="12" xfId="0" applyNumberFormat="1" applyFont="1" applyBorder="1"/>
    <xf numFmtId="0" fontId="23" fillId="0" borderId="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left" wrapText="1" indent="1"/>
    </xf>
    <xf numFmtId="49" fontId="3" fillId="0" borderId="12" xfId="0" applyNumberFormat="1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5" fillId="0" borderId="12" xfId="0" applyFont="1" applyBorder="1" applyAlignment="1">
      <alignment horizontal="left" vertical="top" wrapText="1" indent="1"/>
    </xf>
    <xf numFmtId="49" fontId="3" fillId="0" borderId="0" xfId="0" applyNumberFormat="1" applyFont="1"/>
    <xf numFmtId="0" fontId="2" fillId="0" borderId="12" xfId="0" applyFont="1" applyBorder="1"/>
    <xf numFmtId="0" fontId="12" fillId="0" borderId="12" xfId="0" applyFont="1" applyBorder="1" applyAlignment="1">
      <alignment horizontal="left" indent="1"/>
    </xf>
    <xf numFmtId="49" fontId="2" fillId="0" borderId="12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4" xfId="0" applyFont="1" applyBorder="1" applyAlignment="1">
      <alignment horizontal="left" indent="1"/>
    </xf>
    <xf numFmtId="0" fontId="0" fillId="0" borderId="21" xfId="0" applyBorder="1" applyAlignment="1">
      <alignment horizontal="center" vertical="center"/>
    </xf>
    <xf numFmtId="0" fontId="2" fillId="0" borderId="25" xfId="0" applyFont="1" applyBorder="1"/>
    <xf numFmtId="0" fontId="6" fillId="0" borderId="25" xfId="0" applyFont="1" applyBorder="1" applyAlignment="1">
      <alignment horizontal="left" inden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textRotation="90" wrapText="1"/>
    </xf>
    <xf numFmtId="0" fontId="17" fillId="3" borderId="17" xfId="0" applyFont="1" applyFill="1" applyBorder="1" applyAlignment="1">
      <alignment horizontal="center" vertical="center" textRotation="90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Border="1"/>
    <xf numFmtId="0" fontId="12" fillId="0" borderId="0" xfId="0" applyFont="1" applyBorder="1" applyAlignment="1">
      <alignment horizontal="left" indent="1"/>
    </xf>
    <xf numFmtId="0" fontId="0" fillId="0" borderId="0" xfId="0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0" fillId="0" borderId="2" xfId="0" applyBorder="1" applyAlignment="1">
      <alignment horizontal="center" vertical="center"/>
    </xf>
    <xf numFmtId="0" fontId="0" fillId="0" borderId="44" xfId="0" applyBorder="1"/>
    <xf numFmtId="165" fontId="0" fillId="0" borderId="45" xfId="1" applyNumberFormat="1" applyFont="1" applyBorder="1"/>
    <xf numFmtId="0" fontId="0" fillId="0" borderId="17" xfId="0" applyBorder="1" applyAlignment="1">
      <alignment horizontal="center"/>
    </xf>
    <xf numFmtId="0" fontId="0" fillId="0" borderId="0" xfId="0" applyBorder="1"/>
    <xf numFmtId="165" fontId="0" fillId="0" borderId="6" xfId="1" applyNumberFormat="1" applyFont="1" applyBorder="1"/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5" fontId="0" fillId="0" borderId="18" xfId="1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0" fillId="0" borderId="18" xfId="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3" fillId="0" borderId="2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49" fontId="0" fillId="0" borderId="21" xfId="1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6" fillId="0" borderId="44" xfId="0" applyFont="1" applyBorder="1" applyAlignment="1">
      <alignment horizontal="left" indent="1"/>
    </xf>
    <xf numFmtId="0" fontId="0" fillId="0" borderId="44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3" fillId="0" borderId="17" xfId="0" applyNumberFormat="1" applyFont="1" applyBorder="1"/>
    <xf numFmtId="49" fontId="3" fillId="0" borderId="3" xfId="0" applyNumberFormat="1" applyFont="1" applyBorder="1"/>
    <xf numFmtId="0" fontId="20" fillId="0" borderId="4" xfId="0" applyFont="1" applyBorder="1" applyAlignment="1">
      <alignment horizontal="left" indent="1"/>
    </xf>
    <xf numFmtId="0" fontId="0" fillId="0" borderId="4" xfId="0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emf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pn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86593</xdr:colOff>
      <xdr:row>2</xdr:row>
      <xdr:rowOff>760822</xdr:rowOff>
    </xdr:from>
    <xdr:to>
      <xdr:col>4</xdr:col>
      <xdr:colOff>744683</xdr:colOff>
      <xdr:row>2</xdr:row>
      <xdr:rowOff>2857500</xdr:rowOff>
    </xdr:to>
    <xdr:pic>
      <xdr:nvPicPr>
        <xdr:cNvPr id="2" name="Рисунок 1" descr="064-04_в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514" t="21953" r="1787" b="26110"/>
        <a:stretch/>
      </xdr:blipFill>
      <xdr:spPr bwMode="auto">
        <a:xfrm>
          <a:off x="86593" y="1263049"/>
          <a:ext cx="5022272" cy="2096678"/>
        </a:xfrm>
        <a:prstGeom prst="rect">
          <a:avLst/>
        </a:prstGeom>
      </xdr:spPr>
    </xdr:pic>
    <xdr:clientData/>
  </xdr:twoCellAnchor>
  <xdr:twoCellAnchor>
    <xdr:from>
      <xdr:col>5</xdr:col>
      <xdr:colOff>95251</xdr:colOff>
      <xdr:row>7</xdr:row>
      <xdr:rowOff>95250</xdr:rowOff>
    </xdr:from>
    <xdr:to>
      <xdr:col>5</xdr:col>
      <xdr:colOff>1704712</xdr:colOff>
      <xdr:row>7</xdr:row>
      <xdr:rowOff>578855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 rot="16199999">
          <a:off x="5788072" y="13670143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68035</xdr:colOff>
      <xdr:row>9</xdr:row>
      <xdr:rowOff>108858</xdr:rowOff>
    </xdr:from>
    <xdr:to>
      <xdr:col>5</xdr:col>
      <xdr:colOff>1741713</xdr:colOff>
      <xdr:row>9</xdr:row>
      <xdr:rowOff>952501</xdr:rowOff>
    </xdr:to>
    <xdr:pic>
      <xdr:nvPicPr>
        <xdr:cNvPr id="7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/>
      </xdr:blipFill>
      <xdr:spPr bwMode="auto">
        <a:xfrm>
          <a:off x="5197928" y="15308037"/>
          <a:ext cx="1673678" cy="843643"/>
        </a:xfrm>
        <a:prstGeom prst="rect">
          <a:avLst/>
        </a:prstGeom>
        <a:noFill/>
      </xdr:spPr>
    </xdr:pic>
    <xdr:clientData/>
  </xdr:twoCellAnchor>
  <xdr:twoCellAnchor>
    <xdr:from>
      <xdr:col>5</xdr:col>
      <xdr:colOff>340178</xdr:colOff>
      <xdr:row>19</xdr:row>
      <xdr:rowOff>40821</xdr:rowOff>
    </xdr:from>
    <xdr:to>
      <xdr:col>5</xdr:col>
      <xdr:colOff>1393279</xdr:colOff>
      <xdr:row>19</xdr:row>
      <xdr:rowOff>1006928</xdr:rowOff>
    </xdr:to>
    <xdr:pic>
      <xdr:nvPicPr>
        <xdr:cNvPr id="13" name="Picture 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5470072" y="25472571"/>
          <a:ext cx="1053100" cy="966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476249</xdr:colOff>
      <xdr:row>20</xdr:row>
      <xdr:rowOff>95249</xdr:rowOff>
    </xdr:from>
    <xdr:to>
      <xdr:col>5</xdr:col>
      <xdr:colOff>1224642</xdr:colOff>
      <xdr:row>20</xdr:row>
      <xdr:rowOff>775605</xdr:rowOff>
    </xdr:to>
    <xdr:pic>
      <xdr:nvPicPr>
        <xdr:cNvPr id="14" name="Picture 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5606142" y="26629178"/>
          <a:ext cx="748393" cy="680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408214</xdr:colOff>
      <xdr:row>21</xdr:row>
      <xdr:rowOff>68036</xdr:rowOff>
    </xdr:from>
    <xdr:to>
      <xdr:col>5</xdr:col>
      <xdr:colOff>1255940</xdr:colOff>
      <xdr:row>21</xdr:row>
      <xdr:rowOff>824570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5538107" y="30099000"/>
          <a:ext cx="847726" cy="7565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593109</xdr:colOff>
      <xdr:row>28</xdr:row>
      <xdr:rowOff>40822</xdr:rowOff>
    </xdr:from>
    <xdr:to>
      <xdr:col>5</xdr:col>
      <xdr:colOff>1192773</xdr:colOff>
      <xdr:row>28</xdr:row>
      <xdr:rowOff>645939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23003" y="40603715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30</xdr:row>
      <xdr:rowOff>79561</xdr:rowOff>
    </xdr:from>
    <xdr:to>
      <xdr:col>5</xdr:col>
      <xdr:colOff>1332940</xdr:colOff>
      <xdr:row>30</xdr:row>
      <xdr:rowOff>774886</xdr:rowOff>
    </xdr:to>
    <xdr:pic>
      <xdr:nvPicPr>
        <xdr:cNvPr id="3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grayscl/>
        </a:blip>
        <a:srcRect t="8989" b="8989"/>
        <a:stretch/>
      </xdr:blipFill>
      <xdr:spPr bwMode="auto">
        <a:xfrm>
          <a:off x="5638241" y="31092961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400210</xdr:colOff>
      <xdr:row>29</xdr:row>
      <xdr:rowOff>32339</xdr:rowOff>
    </xdr:from>
    <xdr:to>
      <xdr:col>5</xdr:col>
      <xdr:colOff>1233076</xdr:colOff>
      <xdr:row>29</xdr:row>
      <xdr:rowOff>837322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530103" y="41343625"/>
          <a:ext cx="832866" cy="804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30</xdr:row>
      <xdr:rowOff>0</xdr:rowOff>
    </xdr:from>
    <xdr:to>
      <xdr:col>15</xdr:col>
      <xdr:colOff>5043</xdr:colOff>
      <xdr:row>30</xdr:row>
      <xdr:rowOff>233951</xdr:rowOff>
    </xdr:to>
    <xdr:pic>
      <xdr:nvPicPr>
        <xdr:cNvPr id="33" name="Picture 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3101340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30</xdr:row>
      <xdr:rowOff>0</xdr:rowOff>
    </xdr:from>
    <xdr:to>
      <xdr:col>15</xdr:col>
      <xdr:colOff>5043</xdr:colOff>
      <xdr:row>30</xdr:row>
      <xdr:rowOff>233951</xdr:rowOff>
    </xdr:to>
    <xdr:pic>
      <xdr:nvPicPr>
        <xdr:cNvPr id="34" name="Picture 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3101340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228847</xdr:colOff>
      <xdr:row>14</xdr:row>
      <xdr:rowOff>85354</xdr:rowOff>
    </xdr:from>
    <xdr:to>
      <xdr:col>5</xdr:col>
      <xdr:colOff>1513642</xdr:colOff>
      <xdr:row>14</xdr:row>
      <xdr:rowOff>534390</xdr:rowOff>
    </xdr:to>
    <xdr:pic>
      <xdr:nvPicPr>
        <xdr:cNvPr id="41" name="Рисунок 40" descr="Пол мостика 1500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5372347" y="12138808"/>
          <a:ext cx="1284794" cy="449036"/>
        </a:xfrm>
        <a:prstGeom prst="rect">
          <a:avLst/>
        </a:prstGeom>
      </xdr:spPr>
    </xdr:pic>
    <xdr:clientData/>
  </xdr:twoCellAnchor>
  <xdr:twoCellAnchor editAs="oneCell">
    <xdr:from>
      <xdr:col>5</xdr:col>
      <xdr:colOff>313765</xdr:colOff>
      <xdr:row>12</xdr:row>
      <xdr:rowOff>56030</xdr:rowOff>
    </xdr:from>
    <xdr:to>
      <xdr:col>5</xdr:col>
      <xdr:colOff>1322295</xdr:colOff>
      <xdr:row>12</xdr:row>
      <xdr:rowOff>1073726</xdr:rowOff>
    </xdr:to>
    <xdr:pic>
      <xdr:nvPicPr>
        <xdr:cNvPr id="42" name="Pictur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5457265" y="8957575"/>
          <a:ext cx="1008530" cy="10176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207819</xdr:colOff>
      <xdr:row>13</xdr:row>
      <xdr:rowOff>69272</xdr:rowOff>
    </xdr:from>
    <xdr:to>
      <xdr:col>5</xdr:col>
      <xdr:colOff>1420115</xdr:colOff>
      <xdr:row>13</xdr:row>
      <xdr:rowOff>1368136</xdr:rowOff>
    </xdr:to>
    <xdr:pic>
      <xdr:nvPicPr>
        <xdr:cNvPr id="20" name="Picture 1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5351319" y="10131136"/>
          <a:ext cx="1212296" cy="129886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242455</xdr:colOff>
      <xdr:row>24</xdr:row>
      <xdr:rowOff>17320</xdr:rowOff>
    </xdr:from>
    <xdr:to>
      <xdr:col>5</xdr:col>
      <xdr:colOff>1160319</xdr:colOff>
      <xdr:row>24</xdr:row>
      <xdr:rowOff>914470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5385955" y="18218729"/>
          <a:ext cx="917864" cy="897150"/>
        </a:xfrm>
        <a:prstGeom prst="rect">
          <a:avLst/>
        </a:prstGeom>
      </xdr:spPr>
    </xdr:pic>
    <xdr:clientData/>
  </xdr:twoCellAnchor>
  <xdr:twoCellAnchor editAs="oneCell">
    <xdr:from>
      <xdr:col>5</xdr:col>
      <xdr:colOff>242454</xdr:colOff>
      <xdr:row>2</xdr:row>
      <xdr:rowOff>202405</xdr:rowOff>
    </xdr:from>
    <xdr:to>
      <xdr:col>10</xdr:col>
      <xdr:colOff>111486</xdr:colOff>
      <xdr:row>2</xdr:row>
      <xdr:rowOff>3658887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5376429" y="707230"/>
          <a:ext cx="4924424" cy="3456482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642937</xdr:colOff>
      <xdr:row>49</xdr:row>
      <xdr:rowOff>59531</xdr:rowOff>
    </xdr:from>
    <xdr:to>
      <xdr:col>3</xdr:col>
      <xdr:colOff>1273968</xdr:colOff>
      <xdr:row>49</xdr:row>
      <xdr:rowOff>696297</xdr:rowOff>
    </xdr:to>
    <xdr:pic>
      <xdr:nvPicPr>
        <xdr:cNvPr id="19" name="Picture 3">
          <a:extLst>
            <a:ext uri="{FF2B5EF4-FFF2-40B4-BE49-F238E27FC236}">
              <a16:creationId xmlns:a16="http://schemas.microsoft.com/office/drawing/2014/main" id="{BE33FF61-3337-43C1-BE5F-4C608F25B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2238375" y="25253156"/>
          <a:ext cx="631031" cy="6367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464344</xdr:colOff>
      <xdr:row>70</xdr:row>
      <xdr:rowOff>59532</xdr:rowOff>
    </xdr:from>
    <xdr:to>
      <xdr:col>3</xdr:col>
      <xdr:colOff>1385540</xdr:colOff>
      <xdr:row>70</xdr:row>
      <xdr:rowOff>523875</xdr:rowOff>
    </xdr:to>
    <xdr:pic>
      <xdr:nvPicPr>
        <xdr:cNvPr id="22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39C119B0-3E5A-4292-82AC-0CA000D2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/>
      </xdr:blipFill>
      <xdr:spPr bwMode="auto">
        <a:xfrm>
          <a:off x="2059782" y="27479626"/>
          <a:ext cx="921196" cy="46434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559594</xdr:colOff>
      <xdr:row>89</xdr:row>
      <xdr:rowOff>59531</xdr:rowOff>
    </xdr:from>
    <xdr:to>
      <xdr:col>3</xdr:col>
      <xdr:colOff>1180833</xdr:colOff>
      <xdr:row>89</xdr:row>
      <xdr:rowOff>666750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6D5B742D-4101-4B16-9FE1-C76991C7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2155032" y="30146625"/>
          <a:ext cx="621239" cy="607219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26</xdr:row>
      <xdr:rowOff>47626</xdr:rowOff>
    </xdr:from>
    <xdr:to>
      <xdr:col>5</xdr:col>
      <xdr:colOff>1380834</xdr:colOff>
      <xdr:row>26</xdr:row>
      <xdr:rowOff>892970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F099A6C-64DD-4E52-A7A8-635AFAF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57813" y="18633282"/>
          <a:ext cx="1154615" cy="845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2"/>
  <sheetViews>
    <sheetView tabSelected="1" topLeftCell="B34" zoomScale="80" workbookViewId="0">
      <selection activeCell="R105" sqref="R105"/>
    </sheetView>
  </sheetViews>
  <sheetFormatPr defaultRowHeight="15" x14ac:dyDescent="0.25"/>
  <cols>
    <col min="1" max="1" width="6.28515625" hidden="1" customWidth="1"/>
    <col min="2" max="2" width="7.7109375" style="1" customWidth="1"/>
    <col min="3" max="3" width="16.28515625" customWidth="1"/>
    <col min="4" max="4" width="41.28515625" style="2" customWidth="1"/>
    <col min="5" max="5" width="11.7109375" style="3" customWidth="1"/>
    <col min="6" max="6" width="26.7109375" customWidth="1"/>
    <col min="7" max="7" width="12.85546875" customWidth="1"/>
    <col min="8" max="8" width="10.140625" customWidth="1"/>
    <col min="9" max="9" width="14.42578125" customWidth="1"/>
    <col min="10" max="10" width="11.7109375" customWidth="1"/>
    <col min="11" max="11" width="12.28515625" style="4" customWidth="1"/>
    <col min="12" max="12" width="12.28515625" customWidth="1"/>
    <col min="13" max="13" width="6.5703125" customWidth="1"/>
    <col min="14" max="14" width="14.140625" customWidth="1"/>
    <col min="15" max="15" width="7.28515625" customWidth="1"/>
    <col min="16" max="16" width="10.140625" customWidth="1"/>
    <col min="17" max="17" width="12.5703125" customWidth="1"/>
    <col min="20" max="20" width="11.85546875" customWidth="1"/>
  </cols>
  <sheetData>
    <row r="1" spans="1:20" ht="21" x14ac:dyDescent="0.25">
      <c r="A1" s="166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20" ht="18.75" customHeight="1" x14ac:dyDescent="0.25">
      <c r="A2" s="5"/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</row>
    <row r="3" spans="1:20" ht="320.25" customHeight="1" thickBot="1" x14ac:dyDescent="0.3">
      <c r="A3" s="6"/>
      <c r="B3" s="169"/>
      <c r="C3" s="170"/>
      <c r="D3" s="170"/>
      <c r="E3" s="170"/>
      <c r="F3" s="170"/>
      <c r="G3" s="170"/>
      <c r="H3" s="170"/>
      <c r="I3" s="170"/>
      <c r="J3" s="170"/>
      <c r="K3" s="171"/>
    </row>
    <row r="4" spans="1:20" ht="69" customHeight="1" thickBot="1" x14ac:dyDescent="0.3">
      <c r="A4" s="7"/>
      <c r="B4" s="8" t="s">
        <v>2</v>
      </c>
      <c r="C4" s="9" t="s">
        <v>3</v>
      </c>
      <c r="D4" s="10" t="s">
        <v>4</v>
      </c>
      <c r="E4" s="9" t="s">
        <v>5</v>
      </c>
      <c r="F4" s="9" t="s">
        <v>6</v>
      </c>
      <c r="G4" s="9" t="s">
        <v>7</v>
      </c>
      <c r="H4" s="10" t="s">
        <v>8</v>
      </c>
      <c r="I4" s="10" t="s">
        <v>9</v>
      </c>
      <c r="J4" s="10" t="s">
        <v>10</v>
      </c>
      <c r="K4" s="11" t="s">
        <v>11</v>
      </c>
      <c r="L4" s="12" t="s">
        <v>12</v>
      </c>
      <c r="M4" s="13" t="s">
        <v>13</v>
      </c>
      <c r="N4" s="14" t="s">
        <v>14</v>
      </c>
      <c r="O4" s="13" t="s">
        <v>15</v>
      </c>
      <c r="P4" s="14" t="s">
        <v>16</v>
      </c>
      <c r="Q4" s="99" t="s">
        <v>71</v>
      </c>
      <c r="R4" s="81" t="s">
        <v>73</v>
      </c>
      <c r="S4" s="100" t="s">
        <v>74</v>
      </c>
      <c r="T4" s="101" t="s">
        <v>75</v>
      </c>
    </row>
    <row r="5" spans="1:20" ht="15.75" thickBot="1" x14ac:dyDescent="0.3">
      <c r="A5" s="15"/>
      <c r="B5" s="172" t="s">
        <v>17</v>
      </c>
      <c r="C5" s="173"/>
      <c r="D5" s="173"/>
      <c r="E5" s="173"/>
      <c r="F5" s="173"/>
      <c r="G5" s="173"/>
      <c r="H5" s="173"/>
      <c r="I5" s="173"/>
      <c r="J5" s="173"/>
      <c r="K5" s="174"/>
      <c r="L5" s="16"/>
      <c r="M5" s="17"/>
      <c r="N5" s="17"/>
      <c r="O5" s="17"/>
      <c r="P5" s="17"/>
      <c r="T5" s="102"/>
    </row>
    <row r="6" spans="1:20" s="18" customFormat="1" ht="18.75" customHeight="1" x14ac:dyDescent="0.2">
      <c r="A6" s="19"/>
      <c r="B6" s="20">
        <v>1</v>
      </c>
      <c r="C6" s="21" t="s">
        <v>18</v>
      </c>
      <c r="D6" s="22" t="s">
        <v>19</v>
      </c>
      <c r="E6" s="20">
        <v>2</v>
      </c>
      <c r="F6" s="23"/>
      <c r="G6" s="20" t="s">
        <v>20</v>
      </c>
      <c r="H6" s="20">
        <v>1</v>
      </c>
      <c r="I6" s="20">
        <v>0.09</v>
      </c>
      <c r="J6" s="20">
        <v>0.09</v>
      </c>
      <c r="K6" s="24">
        <f t="shared" ref="K6:K10" si="0">H6*I6*J6</f>
        <v>8.0999999999999996E-3</v>
      </c>
      <c r="L6" s="16"/>
      <c r="M6" s="17"/>
      <c r="N6" s="17"/>
      <c r="O6" s="17"/>
      <c r="P6" s="25">
        <f t="shared" ref="P6:P31" si="1">K6*E6</f>
        <v>1.6199999999999999E-2</v>
      </c>
      <c r="T6" s="103"/>
    </row>
    <row r="7" spans="1:20" s="18" customFormat="1" ht="18.75" customHeight="1" x14ac:dyDescent="0.2">
      <c r="A7" s="26"/>
      <c r="B7" s="14">
        <v>2</v>
      </c>
      <c r="C7" s="27" t="s">
        <v>21</v>
      </c>
      <c r="D7" s="28" t="s">
        <v>22</v>
      </c>
      <c r="E7" s="29">
        <v>4</v>
      </c>
      <c r="F7" s="30"/>
      <c r="G7" s="30" t="s">
        <v>20</v>
      </c>
      <c r="H7" s="30">
        <v>1.7</v>
      </c>
      <c r="I7" s="30">
        <v>0.09</v>
      </c>
      <c r="J7" s="30">
        <v>0.09</v>
      </c>
      <c r="K7" s="31">
        <f t="shared" si="0"/>
        <v>1.3769999999999999E-2</v>
      </c>
      <c r="L7" s="16"/>
      <c r="M7" s="17"/>
      <c r="N7" s="17"/>
      <c r="O7" s="17"/>
      <c r="P7" s="25">
        <f t="shared" si="1"/>
        <v>5.5079999999999997E-2</v>
      </c>
      <c r="T7" s="103"/>
    </row>
    <row r="8" spans="1:20" s="18" customFormat="1" ht="63.75" customHeight="1" thickBot="1" x14ac:dyDescent="0.3">
      <c r="A8" s="26"/>
      <c r="B8" s="14">
        <v>3</v>
      </c>
      <c r="C8" s="14" t="s">
        <v>23</v>
      </c>
      <c r="D8" s="28" t="s">
        <v>24</v>
      </c>
      <c r="E8" s="14">
        <v>6</v>
      </c>
      <c r="F8" s="14"/>
      <c r="G8" s="32">
        <v>9007</v>
      </c>
      <c r="H8" s="14">
        <v>7.4999999999999997E-2</v>
      </c>
      <c r="I8" s="14">
        <v>7.4999999999999997E-2</v>
      </c>
      <c r="J8" s="14">
        <v>0.6</v>
      </c>
      <c r="K8" s="31">
        <f t="shared" si="0"/>
        <v>3.375E-3</v>
      </c>
      <c r="L8" s="33">
        <v>2</v>
      </c>
      <c r="M8" s="34">
        <f>L8*E8</f>
        <v>12</v>
      </c>
      <c r="N8" s="34"/>
      <c r="O8" s="34">
        <f t="shared" ref="O8:O31" si="2">N8*E8</f>
        <v>0</v>
      </c>
      <c r="P8" s="25">
        <f t="shared" si="1"/>
        <v>2.0250000000000001E-2</v>
      </c>
      <c r="S8" s="18">
        <f>E8*3</f>
        <v>18</v>
      </c>
      <c r="T8" s="103"/>
    </row>
    <row r="9" spans="1:20" ht="19.5" customHeight="1" thickBot="1" x14ac:dyDescent="0.3">
      <c r="A9" s="175" t="s">
        <v>25</v>
      </c>
      <c r="B9" s="176"/>
      <c r="C9" s="176"/>
      <c r="D9" s="176"/>
      <c r="E9" s="176"/>
      <c r="F9" s="176"/>
      <c r="G9" s="176"/>
      <c r="H9" s="176"/>
      <c r="I9" s="176"/>
      <c r="J9" s="176"/>
      <c r="K9" s="177"/>
      <c r="L9" s="35"/>
      <c r="M9" s="35"/>
      <c r="N9" s="35"/>
      <c r="O9" s="34">
        <f t="shared" si="2"/>
        <v>0</v>
      </c>
      <c r="P9" s="25">
        <f t="shared" si="1"/>
        <v>0</v>
      </c>
      <c r="T9" s="102"/>
    </row>
    <row r="10" spans="1:20" s="18" customFormat="1" ht="82.5" customHeight="1" x14ac:dyDescent="0.25">
      <c r="A10" s="36"/>
      <c r="B10" s="37">
        <v>4</v>
      </c>
      <c r="C10" s="38" t="s">
        <v>26</v>
      </c>
      <c r="D10" s="39" t="s">
        <v>27</v>
      </c>
      <c r="E10" s="38">
        <v>1</v>
      </c>
      <c r="F10" s="38"/>
      <c r="G10" s="38"/>
      <c r="H10" s="38">
        <v>0.8</v>
      </c>
      <c r="I10" s="38">
        <v>0.8</v>
      </c>
      <c r="J10" s="38">
        <v>0.08</v>
      </c>
      <c r="K10" s="40">
        <f t="shared" si="0"/>
        <v>5.1200000000000009E-2</v>
      </c>
      <c r="L10" s="41"/>
      <c r="M10" s="42"/>
      <c r="N10" s="38"/>
      <c r="O10" s="34">
        <f t="shared" si="2"/>
        <v>0</v>
      </c>
      <c r="P10" s="25">
        <f t="shared" si="1"/>
        <v>5.1200000000000009E-2</v>
      </c>
      <c r="Q10" s="18">
        <v>4</v>
      </c>
      <c r="T10" s="103"/>
    </row>
    <row r="11" spans="1:20" s="18" customFormat="1" ht="27.75" customHeight="1" thickBot="1" x14ac:dyDescent="0.25">
      <c r="A11" s="43"/>
      <c r="B11" s="44">
        <v>5</v>
      </c>
      <c r="C11" s="34" t="s">
        <v>28</v>
      </c>
      <c r="D11" s="45" t="s">
        <v>29</v>
      </c>
      <c r="E11" s="34">
        <v>4</v>
      </c>
      <c r="F11" s="34"/>
      <c r="G11" s="32">
        <v>9007</v>
      </c>
      <c r="H11" s="34"/>
      <c r="I11" s="34"/>
      <c r="J11" s="34"/>
      <c r="K11" s="46">
        <v>5.0000000000000001E-4</v>
      </c>
      <c r="L11" s="33"/>
      <c r="M11" s="34"/>
      <c r="N11" s="34"/>
      <c r="O11" s="34">
        <f t="shared" si="2"/>
        <v>0</v>
      </c>
      <c r="P11" s="25">
        <f t="shared" si="1"/>
        <v>2E-3</v>
      </c>
      <c r="T11" s="103"/>
    </row>
    <row r="12" spans="1:20" ht="22.5" customHeight="1" thickBot="1" x14ac:dyDescent="0.3">
      <c r="A12" s="178" t="s">
        <v>30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80"/>
      <c r="L12" s="47"/>
      <c r="M12" s="48"/>
      <c r="N12" s="48"/>
      <c r="O12" s="34">
        <f t="shared" si="2"/>
        <v>0</v>
      </c>
      <c r="P12" s="25">
        <f t="shared" si="1"/>
        <v>0</v>
      </c>
      <c r="T12" s="102"/>
    </row>
    <row r="13" spans="1:20" s="18" customFormat="1" ht="91.5" customHeight="1" thickBot="1" x14ac:dyDescent="0.25">
      <c r="A13" s="49"/>
      <c r="B13" s="50"/>
      <c r="C13" s="181" t="s">
        <v>31</v>
      </c>
      <c r="D13" s="181"/>
      <c r="E13" s="50">
        <v>1</v>
      </c>
      <c r="F13" s="50"/>
      <c r="G13" s="50"/>
      <c r="H13" s="50"/>
      <c r="I13" s="50"/>
      <c r="J13" s="50"/>
      <c r="K13" s="51"/>
      <c r="L13" s="52"/>
      <c r="M13" s="53"/>
      <c r="N13" s="53"/>
      <c r="O13" s="53"/>
      <c r="P13" s="53"/>
      <c r="R13" s="18">
        <f>E13*8</f>
        <v>8</v>
      </c>
      <c r="T13" s="103"/>
    </row>
    <row r="14" spans="1:20" s="18" customFormat="1" ht="113.25" customHeight="1" x14ac:dyDescent="0.2">
      <c r="A14" s="54"/>
      <c r="B14" s="55" t="s">
        <v>32</v>
      </c>
      <c r="C14" s="114" t="s">
        <v>33</v>
      </c>
      <c r="D14" s="115" t="s">
        <v>34</v>
      </c>
      <c r="E14" s="56">
        <v>2</v>
      </c>
      <c r="F14" s="57"/>
      <c r="G14" s="58">
        <v>8014</v>
      </c>
      <c r="H14" s="57">
        <v>0.78500000000000003</v>
      </c>
      <c r="I14" s="57">
        <v>0.98</v>
      </c>
      <c r="J14" s="57">
        <v>1.7999999999999999E-2</v>
      </c>
      <c r="K14" s="59">
        <f t="shared" ref="K14:K31" si="3">H14*I14*J14</f>
        <v>1.3847399999999999E-2</v>
      </c>
      <c r="L14" s="12">
        <v>4</v>
      </c>
      <c r="M14" s="14">
        <f>L14*E14</f>
        <v>8</v>
      </c>
      <c r="N14" s="14"/>
      <c r="O14" s="14"/>
      <c r="P14" s="25">
        <f t="shared" ref="P14:P18" si="4">K14*E14</f>
        <v>2.7694799999999999E-2</v>
      </c>
      <c r="T14" s="103"/>
    </row>
    <row r="15" spans="1:20" s="18" customFormat="1" ht="45.75" customHeight="1" x14ac:dyDescent="0.2">
      <c r="A15" s="43"/>
      <c r="B15" s="60" t="s">
        <v>35</v>
      </c>
      <c r="C15" s="61" t="s">
        <v>36</v>
      </c>
      <c r="D15" s="39" t="s">
        <v>37</v>
      </c>
      <c r="E15" s="14">
        <v>4</v>
      </c>
      <c r="F15" s="14"/>
      <c r="G15" s="14" t="s">
        <v>38</v>
      </c>
      <c r="H15" s="14">
        <v>0.59599999999999997</v>
      </c>
      <c r="I15" s="14">
        <v>0.14000000000000001</v>
      </c>
      <c r="J15" s="14">
        <v>1.7999999999999999E-2</v>
      </c>
      <c r="K15" s="31">
        <f t="shared" si="3"/>
        <v>1.5019199999999999E-3</v>
      </c>
      <c r="L15" s="12"/>
      <c r="M15" s="14"/>
      <c r="N15" s="14">
        <v>2</v>
      </c>
      <c r="O15" s="14">
        <f>N15*E15</f>
        <v>8</v>
      </c>
      <c r="P15" s="25">
        <f t="shared" si="4"/>
        <v>6.0076799999999996E-3</v>
      </c>
      <c r="T15" s="103"/>
    </row>
    <row r="16" spans="1:20" s="18" customFormat="1" ht="27.75" customHeight="1" x14ac:dyDescent="0.2">
      <c r="A16" s="43"/>
      <c r="B16" s="60" t="s">
        <v>39</v>
      </c>
      <c r="C16" s="62" t="s">
        <v>40</v>
      </c>
      <c r="D16" s="63" t="s">
        <v>41</v>
      </c>
      <c r="E16" s="14">
        <f>2*E15</f>
        <v>8</v>
      </c>
      <c r="F16" s="14"/>
      <c r="G16" s="32">
        <v>9007</v>
      </c>
      <c r="H16" s="14"/>
      <c r="I16" s="14"/>
      <c r="J16" s="14"/>
      <c r="K16" s="31"/>
      <c r="L16" s="12"/>
      <c r="M16" s="14"/>
      <c r="N16" s="14"/>
      <c r="O16" s="14"/>
      <c r="P16" s="25">
        <f t="shared" si="4"/>
        <v>0</v>
      </c>
      <c r="T16" s="103"/>
    </row>
    <row r="17" spans="1:20" s="18" customFormat="1" ht="36" customHeight="1" x14ac:dyDescent="0.2">
      <c r="A17" s="43"/>
      <c r="B17" s="60" t="s">
        <v>42</v>
      </c>
      <c r="C17" s="62" t="s">
        <v>43</v>
      </c>
      <c r="D17" s="14" t="s">
        <v>44</v>
      </c>
      <c r="E17" s="14">
        <v>2</v>
      </c>
      <c r="F17" s="14"/>
      <c r="G17" s="64">
        <v>6018</v>
      </c>
      <c r="H17" s="14">
        <v>1.1499999999999999</v>
      </c>
      <c r="I17" s="14">
        <v>0.04</v>
      </c>
      <c r="J17" s="14">
        <v>7.4999999999999997E-2</v>
      </c>
      <c r="K17" s="65">
        <v>3.4499999999999999E-3</v>
      </c>
      <c r="L17" s="12">
        <v>2</v>
      </c>
      <c r="M17" s="14">
        <f t="shared" ref="M17:M27" si="5">L17*E17</f>
        <v>4</v>
      </c>
      <c r="N17" s="14"/>
      <c r="O17" s="14"/>
      <c r="P17" s="25">
        <f t="shared" si="4"/>
        <v>6.8999999999999999E-3</v>
      </c>
      <c r="R17" s="18">
        <f>E17*4</f>
        <v>8</v>
      </c>
      <c r="T17" s="103"/>
    </row>
    <row r="18" spans="1:20" s="18" customFormat="1" ht="43.5" customHeight="1" thickBot="1" x14ac:dyDescent="0.25">
      <c r="A18" s="66"/>
      <c r="B18" s="67" t="s">
        <v>45</v>
      </c>
      <c r="C18" s="62" t="s">
        <v>43</v>
      </c>
      <c r="D18" s="68" t="s">
        <v>44</v>
      </c>
      <c r="E18" s="68">
        <v>2</v>
      </c>
      <c r="F18" s="68"/>
      <c r="G18" s="69">
        <v>7047</v>
      </c>
      <c r="H18" s="68">
        <v>1.1499999999999999</v>
      </c>
      <c r="I18" s="68">
        <v>0.04</v>
      </c>
      <c r="J18" s="68">
        <v>7.4999999999999997E-2</v>
      </c>
      <c r="K18" s="70">
        <v>3.4499999999999999E-3</v>
      </c>
      <c r="L18" s="12">
        <v>2</v>
      </c>
      <c r="M18" s="14">
        <f t="shared" si="5"/>
        <v>4</v>
      </c>
      <c r="N18" s="14"/>
      <c r="O18" s="14"/>
      <c r="P18" s="25">
        <f t="shared" si="4"/>
        <v>6.8999999999999999E-3</v>
      </c>
      <c r="R18" s="18">
        <f>E18*4</f>
        <v>8</v>
      </c>
      <c r="T18" s="103"/>
    </row>
    <row r="19" spans="1:20" ht="23.25" customHeight="1" thickBot="1" x14ac:dyDescent="0.3">
      <c r="A19" s="15"/>
      <c r="B19" s="182" t="s">
        <v>46</v>
      </c>
      <c r="C19" s="183"/>
      <c r="D19" s="183"/>
      <c r="E19" s="183"/>
      <c r="F19" s="183"/>
      <c r="G19" s="183"/>
      <c r="H19" s="183"/>
      <c r="I19" s="183"/>
      <c r="J19" s="183"/>
      <c r="K19" s="184"/>
      <c r="L19" s="35"/>
      <c r="M19" s="35"/>
      <c r="N19" s="35"/>
      <c r="O19" s="34">
        <f t="shared" si="2"/>
        <v>0</v>
      </c>
      <c r="P19" s="25">
        <f t="shared" si="1"/>
        <v>0</v>
      </c>
      <c r="T19" s="102"/>
    </row>
    <row r="20" spans="1:20" s="18" customFormat="1" ht="87" customHeight="1" thickBot="1" x14ac:dyDescent="0.3">
      <c r="A20" s="185" t="s">
        <v>47</v>
      </c>
      <c r="B20" s="71">
        <v>11</v>
      </c>
      <c r="C20" s="72" t="s">
        <v>48</v>
      </c>
      <c r="D20" s="130" t="s">
        <v>49</v>
      </c>
      <c r="E20" s="71">
        <v>2</v>
      </c>
      <c r="F20" s="71"/>
      <c r="G20" s="73">
        <v>2008</v>
      </c>
      <c r="H20" s="71">
        <v>0.8</v>
      </c>
      <c r="I20" s="71">
        <v>0.7</v>
      </c>
      <c r="J20" s="71">
        <v>1.4999999999999999E-2</v>
      </c>
      <c r="K20" s="74">
        <f t="shared" si="3"/>
        <v>8.3999999999999995E-3</v>
      </c>
      <c r="L20" s="41">
        <v>4</v>
      </c>
      <c r="M20" s="38">
        <f t="shared" si="5"/>
        <v>8</v>
      </c>
      <c r="N20" s="38"/>
      <c r="O20" s="34">
        <f t="shared" si="2"/>
        <v>0</v>
      </c>
      <c r="P20" s="25">
        <f t="shared" si="1"/>
        <v>1.6799999999999999E-2</v>
      </c>
      <c r="R20" s="18">
        <f>E20*4</f>
        <v>8</v>
      </c>
      <c r="T20" s="103"/>
    </row>
    <row r="21" spans="1:20" s="18" customFormat="1" ht="66.75" customHeight="1" thickBot="1" x14ac:dyDescent="0.3">
      <c r="A21" s="186"/>
      <c r="B21" s="14">
        <v>12</v>
      </c>
      <c r="C21" s="72" t="s">
        <v>50</v>
      </c>
      <c r="D21" s="131" t="s">
        <v>51</v>
      </c>
      <c r="E21" s="14">
        <v>4</v>
      </c>
      <c r="F21" s="14"/>
      <c r="G21" s="32">
        <v>7047</v>
      </c>
      <c r="H21" s="14">
        <v>0.3</v>
      </c>
      <c r="I21" s="14">
        <v>0.05</v>
      </c>
      <c r="J21" s="14">
        <v>1.4999999999999999E-2</v>
      </c>
      <c r="K21" s="31">
        <f t="shared" si="3"/>
        <v>2.2499999999999999E-4</v>
      </c>
      <c r="L21" s="12"/>
      <c r="M21" s="14"/>
      <c r="N21" s="14">
        <v>2</v>
      </c>
      <c r="O21" s="34">
        <f t="shared" si="2"/>
        <v>8</v>
      </c>
      <c r="P21" s="25">
        <f t="shared" si="1"/>
        <v>8.9999999999999998E-4</v>
      </c>
      <c r="T21" s="103">
        <f>E21*2</f>
        <v>8</v>
      </c>
    </row>
    <row r="22" spans="1:20" s="18" customFormat="1" ht="68.25" customHeight="1" x14ac:dyDescent="0.25">
      <c r="A22" s="186"/>
      <c r="B22" s="14">
        <v>13</v>
      </c>
      <c r="C22" s="72" t="s">
        <v>52</v>
      </c>
      <c r="D22" s="131" t="s">
        <v>53</v>
      </c>
      <c r="E22" s="14">
        <v>2</v>
      </c>
      <c r="F22" s="14"/>
      <c r="G22" s="32">
        <v>7047</v>
      </c>
      <c r="H22" s="14">
        <v>0.44</v>
      </c>
      <c r="I22" s="14">
        <v>0.35099999999999998</v>
      </c>
      <c r="J22" s="14">
        <v>1.2E-2</v>
      </c>
      <c r="K22" s="31">
        <f t="shared" si="3"/>
        <v>1.8532799999999999E-3</v>
      </c>
      <c r="L22" s="12"/>
      <c r="M22" s="14"/>
      <c r="N22" s="14"/>
      <c r="O22" s="34">
        <f t="shared" si="2"/>
        <v>0</v>
      </c>
      <c r="P22" s="25">
        <f t="shared" si="1"/>
        <v>3.7065599999999998E-3</v>
      </c>
      <c r="T22" s="103">
        <f>E22*3</f>
        <v>6</v>
      </c>
    </row>
    <row r="23" spans="1:20" s="18" customFormat="1" ht="27.75" customHeight="1" thickBot="1" x14ac:dyDescent="0.25">
      <c r="A23" s="75"/>
      <c r="B23" s="14">
        <v>14</v>
      </c>
      <c r="C23" s="62" t="s">
        <v>40</v>
      </c>
      <c r="D23" s="76" t="s">
        <v>41</v>
      </c>
      <c r="E23" s="68">
        <v>10</v>
      </c>
      <c r="F23" s="68"/>
      <c r="G23" s="69">
        <v>7047</v>
      </c>
      <c r="H23" s="68"/>
      <c r="I23" s="68"/>
      <c r="J23" s="68"/>
      <c r="K23" s="77"/>
      <c r="L23" s="33"/>
      <c r="M23" s="34"/>
      <c r="N23" s="34">
        <v>2</v>
      </c>
      <c r="O23" s="34">
        <f t="shared" si="2"/>
        <v>20</v>
      </c>
      <c r="P23" s="25">
        <f t="shared" si="1"/>
        <v>0</v>
      </c>
      <c r="T23" s="103"/>
    </row>
    <row r="24" spans="1:20" s="18" customFormat="1" ht="27.75" customHeight="1" thickBot="1" x14ac:dyDescent="0.3">
      <c r="A24" s="187" t="s">
        <v>54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9"/>
      <c r="L24" s="78"/>
      <c r="M24" s="78"/>
      <c r="N24" s="78"/>
      <c r="O24" s="34">
        <f t="shared" ref="O24:O25" si="6">N24*E24</f>
        <v>0</v>
      </c>
      <c r="P24" s="25">
        <f t="shared" ref="P24:P25" si="7">K24*E24</f>
        <v>0</v>
      </c>
      <c r="T24" s="103"/>
    </row>
    <row r="25" spans="1:20" s="18" customFormat="1" ht="75.75" customHeight="1" thickBot="1" x14ac:dyDescent="0.25">
      <c r="A25" s="15"/>
      <c r="B25" s="79" t="s">
        <v>55</v>
      </c>
      <c r="C25" s="80" t="s">
        <v>56</v>
      </c>
      <c r="D25" s="81" t="s">
        <v>57</v>
      </c>
      <c r="E25" s="81">
        <v>1</v>
      </c>
      <c r="F25" s="82"/>
      <c r="G25" s="83"/>
      <c r="H25" s="81">
        <v>0.61599999999999999</v>
      </c>
      <c r="I25" s="81">
        <v>0.04</v>
      </c>
      <c r="J25" s="81">
        <v>0.1</v>
      </c>
      <c r="K25" s="84">
        <v>2.464E-3</v>
      </c>
      <c r="L25" s="41">
        <v>4</v>
      </c>
      <c r="M25" s="38">
        <f t="shared" si="5"/>
        <v>4</v>
      </c>
      <c r="N25" s="38"/>
      <c r="O25" s="34">
        <f t="shared" si="6"/>
        <v>0</v>
      </c>
      <c r="P25" s="25">
        <f t="shared" si="7"/>
        <v>2.464E-3</v>
      </c>
      <c r="R25" s="18">
        <v>6</v>
      </c>
      <c r="T25" s="104">
        <v>18</v>
      </c>
    </row>
    <row r="26" spans="1:20" s="18" customFormat="1" ht="27.75" customHeight="1" thickBot="1" x14ac:dyDescent="0.3">
      <c r="A26" s="187" t="s">
        <v>58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9"/>
      <c r="L26" s="78"/>
      <c r="M26" s="78"/>
      <c r="N26" s="78"/>
      <c r="O26" s="34">
        <f t="shared" si="2"/>
        <v>0</v>
      </c>
      <c r="P26" s="25">
        <f t="shared" si="1"/>
        <v>0</v>
      </c>
      <c r="T26" s="103"/>
    </row>
    <row r="27" spans="1:20" s="18" customFormat="1" ht="75.75" customHeight="1" thickBot="1" x14ac:dyDescent="0.25">
      <c r="A27" s="15"/>
      <c r="B27" s="79" t="s">
        <v>59</v>
      </c>
      <c r="C27" s="80" t="s">
        <v>138</v>
      </c>
      <c r="D27" s="81" t="s">
        <v>167</v>
      </c>
      <c r="E27" s="81">
        <v>1</v>
      </c>
      <c r="F27" s="82"/>
      <c r="G27" s="32">
        <v>9007</v>
      </c>
      <c r="H27" s="81">
        <v>0.61599999999999999</v>
      </c>
      <c r="I27" s="81">
        <v>0.04</v>
      </c>
      <c r="J27" s="81">
        <v>0.1</v>
      </c>
      <c r="K27" s="84">
        <v>2.464E-3</v>
      </c>
      <c r="L27" s="41">
        <v>4</v>
      </c>
      <c r="M27" s="38">
        <f t="shared" si="5"/>
        <v>4</v>
      </c>
      <c r="N27" s="38"/>
      <c r="O27" s="34">
        <f t="shared" si="2"/>
        <v>0</v>
      </c>
      <c r="P27" s="25">
        <f t="shared" si="1"/>
        <v>2.464E-3</v>
      </c>
      <c r="R27" s="18">
        <v>4</v>
      </c>
      <c r="T27" s="103"/>
    </row>
    <row r="28" spans="1:20" s="18" customFormat="1" ht="27.75" customHeight="1" thickBot="1" x14ac:dyDescent="0.3">
      <c r="A28" s="187" t="s">
        <v>60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9"/>
      <c r="L28" s="78"/>
      <c r="M28" s="78"/>
      <c r="N28" s="78"/>
      <c r="O28" s="34">
        <f t="shared" si="2"/>
        <v>0</v>
      </c>
      <c r="P28" s="25">
        <f t="shared" si="1"/>
        <v>0</v>
      </c>
      <c r="T28" s="103"/>
    </row>
    <row r="29" spans="1:20" ht="58.5" customHeight="1" x14ac:dyDescent="0.25">
      <c r="A29" s="85"/>
      <c r="B29" s="61" t="s">
        <v>61</v>
      </c>
      <c r="C29" s="38" t="s">
        <v>62</v>
      </c>
      <c r="D29" s="39" t="s">
        <v>63</v>
      </c>
      <c r="E29" s="86">
        <v>32</v>
      </c>
      <c r="F29" s="17"/>
      <c r="G29" s="87" t="s">
        <v>64</v>
      </c>
      <c r="H29" s="87">
        <v>2.7E-2</v>
      </c>
      <c r="I29" s="87">
        <v>2.7E-2</v>
      </c>
      <c r="J29" s="87">
        <v>1.6E-2</v>
      </c>
      <c r="K29" s="88">
        <f t="shared" si="3"/>
        <v>1.1663999999999999E-5</v>
      </c>
      <c r="L29" s="16"/>
      <c r="M29" s="17"/>
      <c r="N29" s="17"/>
      <c r="O29" s="34">
        <f t="shared" si="2"/>
        <v>0</v>
      </c>
      <c r="P29" s="25">
        <f t="shared" si="1"/>
        <v>3.7324799999999996E-4</v>
      </c>
      <c r="T29" s="102"/>
    </row>
    <row r="30" spans="1:20" ht="66.75" customHeight="1" x14ac:dyDescent="0.25">
      <c r="A30" s="85"/>
      <c r="B30" s="61" t="s">
        <v>65</v>
      </c>
      <c r="C30" s="38" t="s">
        <v>66</v>
      </c>
      <c r="D30" s="63" t="s">
        <v>67</v>
      </c>
      <c r="E30" s="86">
        <v>46</v>
      </c>
      <c r="F30" s="17"/>
      <c r="G30" s="89" t="s">
        <v>64</v>
      </c>
      <c r="H30" s="89">
        <v>3.5999999999999997E-2</v>
      </c>
      <c r="I30" s="89">
        <v>3.5999999999999997E-2</v>
      </c>
      <c r="J30" s="89">
        <v>2.3E-2</v>
      </c>
      <c r="K30" s="90">
        <f t="shared" si="3"/>
        <v>2.9807999999999996E-5</v>
      </c>
      <c r="L30" s="16"/>
      <c r="M30" s="17"/>
      <c r="N30" s="17"/>
      <c r="O30" s="34">
        <f t="shared" si="2"/>
        <v>0</v>
      </c>
      <c r="P30" s="25">
        <f t="shared" si="1"/>
        <v>1.3711679999999999E-3</v>
      </c>
      <c r="T30" s="102"/>
    </row>
    <row r="31" spans="1:20" ht="66.75" customHeight="1" thickBot="1" x14ac:dyDescent="0.3">
      <c r="A31" s="91"/>
      <c r="B31" s="61" t="s">
        <v>68</v>
      </c>
      <c r="C31" s="68" t="s">
        <v>69</v>
      </c>
      <c r="D31" s="76" t="s">
        <v>70</v>
      </c>
      <c r="E31" s="92">
        <v>6</v>
      </c>
      <c r="F31" s="93"/>
      <c r="G31" s="94" t="s">
        <v>64</v>
      </c>
      <c r="H31" s="94">
        <v>0.09</v>
      </c>
      <c r="I31" s="94">
        <v>0.09</v>
      </c>
      <c r="J31" s="94">
        <v>4.3999999999999997E-2</v>
      </c>
      <c r="K31" s="95">
        <f t="shared" si="3"/>
        <v>3.5639999999999994E-4</v>
      </c>
      <c r="L31" s="16"/>
      <c r="M31" s="17"/>
      <c r="N31" s="17"/>
      <c r="O31" s="34">
        <f t="shared" si="2"/>
        <v>0</v>
      </c>
      <c r="P31" s="25">
        <f t="shared" si="1"/>
        <v>2.1383999999999995E-3</v>
      </c>
      <c r="S31" s="3">
        <v>6</v>
      </c>
      <c r="T31" s="102"/>
    </row>
    <row r="32" spans="1:20" x14ac:dyDescent="0.25">
      <c r="M32">
        <f>SUM(M8:M31)</f>
        <v>44</v>
      </c>
      <c r="O32">
        <f>SUM(O5:O31)</f>
        <v>36</v>
      </c>
      <c r="P32" s="96">
        <f>SUM(P5:P31)</f>
        <v>0.222449856</v>
      </c>
      <c r="Q32" s="106">
        <f>SUM(Q8:Q31)</f>
        <v>4</v>
      </c>
      <c r="R32" s="106">
        <f>SUM(R8:R31)</f>
        <v>42</v>
      </c>
      <c r="S32" s="106">
        <f>SUM(S8:S31)</f>
        <v>24</v>
      </c>
      <c r="T32" s="106">
        <f>SUM(T8:T31)</f>
        <v>32</v>
      </c>
    </row>
    <row r="33" spans="3:20" x14ac:dyDescent="0.25">
      <c r="C33" s="190" t="s">
        <v>86</v>
      </c>
      <c r="D33" s="190"/>
      <c r="E33" s="190"/>
      <c r="K33"/>
      <c r="Q33" s="99" t="s">
        <v>71</v>
      </c>
      <c r="R33" s="81" t="s">
        <v>73</v>
      </c>
      <c r="S33" s="100" t="s">
        <v>74</v>
      </c>
      <c r="T33" s="105" t="s">
        <v>75</v>
      </c>
    </row>
    <row r="34" spans="3:20" x14ac:dyDescent="0.25">
      <c r="C34" s="1" t="s">
        <v>81</v>
      </c>
      <c r="D34" s="1" t="s">
        <v>80</v>
      </c>
      <c r="E34" s="1" t="s">
        <v>79</v>
      </c>
      <c r="F34" s="1"/>
      <c r="G34" s="1"/>
      <c r="H34" s="1"/>
      <c r="I34" s="1"/>
      <c r="J34" s="1"/>
      <c r="K34" s="1"/>
      <c r="Q34" s="109"/>
      <c r="R34" s="98"/>
      <c r="S34" s="98"/>
      <c r="T34" s="98"/>
    </row>
    <row r="35" spans="3:20" x14ac:dyDescent="0.25">
      <c r="C35" s="192" t="s">
        <v>76</v>
      </c>
      <c r="D35" s="107" t="s">
        <v>74</v>
      </c>
      <c r="E35" s="108">
        <v>42</v>
      </c>
    </row>
    <row r="36" spans="3:20" x14ac:dyDescent="0.25">
      <c r="C36" s="192"/>
      <c r="D36" s="107" t="s">
        <v>73</v>
      </c>
      <c r="E36" s="108">
        <v>24</v>
      </c>
    </row>
    <row r="37" spans="3:20" x14ac:dyDescent="0.25">
      <c r="C37" s="191" t="s">
        <v>77</v>
      </c>
      <c r="D37" s="107" t="s">
        <v>71</v>
      </c>
      <c r="E37" s="108">
        <v>4</v>
      </c>
    </row>
    <row r="38" spans="3:20" x14ac:dyDescent="0.25">
      <c r="C38" s="191"/>
      <c r="D38" s="107" t="s">
        <v>78</v>
      </c>
      <c r="E38" s="108">
        <v>32</v>
      </c>
    </row>
    <row r="39" spans="3:20" x14ac:dyDescent="0.25">
      <c r="C39" s="191" t="s">
        <v>82</v>
      </c>
      <c r="D39" s="107" t="s">
        <v>83</v>
      </c>
      <c r="E39" s="108">
        <v>4</v>
      </c>
    </row>
    <row r="40" spans="3:20" x14ac:dyDescent="0.25">
      <c r="C40" s="191"/>
      <c r="D40" s="107" t="s">
        <v>72</v>
      </c>
      <c r="E40" s="108">
        <v>4</v>
      </c>
    </row>
    <row r="41" spans="3:20" x14ac:dyDescent="0.25">
      <c r="C41" s="191"/>
      <c r="D41" s="107" t="s">
        <v>84</v>
      </c>
      <c r="E41" s="108">
        <f>E35+E36</f>
        <v>66</v>
      </c>
    </row>
    <row r="42" spans="3:20" x14ac:dyDescent="0.25">
      <c r="C42" s="191"/>
      <c r="D42" s="107" t="s">
        <v>85</v>
      </c>
      <c r="E42" s="108">
        <f>E38</f>
        <v>32</v>
      </c>
    </row>
    <row r="43" spans="3:20" x14ac:dyDescent="0.25">
      <c r="C43" s="191" t="s">
        <v>87</v>
      </c>
      <c r="D43" s="107" t="s">
        <v>72</v>
      </c>
      <c r="E43" s="108">
        <v>4</v>
      </c>
    </row>
    <row r="44" spans="3:20" x14ac:dyDescent="0.25">
      <c r="C44" s="191"/>
      <c r="D44" s="107" t="s">
        <v>85</v>
      </c>
      <c r="E44" s="108">
        <f>E38</f>
        <v>32</v>
      </c>
    </row>
    <row r="45" spans="3:20" x14ac:dyDescent="0.25">
      <c r="C45" s="191" t="s">
        <v>94</v>
      </c>
      <c r="D45" s="107" t="s">
        <v>62</v>
      </c>
      <c r="E45" s="108">
        <f>E38</f>
        <v>32</v>
      </c>
    </row>
    <row r="46" spans="3:20" x14ac:dyDescent="0.25">
      <c r="C46" s="191"/>
      <c r="D46" s="107" t="s">
        <v>66</v>
      </c>
      <c r="E46" s="108">
        <f>E35+E37</f>
        <v>46</v>
      </c>
      <c r="K46" s="97"/>
    </row>
    <row r="47" spans="3:20" x14ac:dyDescent="0.25">
      <c r="C47" s="191"/>
      <c r="D47" s="107" t="s">
        <v>96</v>
      </c>
      <c r="E47" s="108">
        <v>6</v>
      </c>
      <c r="K47" s="97"/>
    </row>
    <row r="48" spans="3:20" x14ac:dyDescent="0.25">
      <c r="C48" s="196"/>
      <c r="D48" s="206"/>
      <c r="E48" s="196"/>
      <c r="K48" s="97"/>
    </row>
    <row r="49" spans="3:11" ht="15.75" thickBot="1" x14ac:dyDescent="0.3">
      <c r="C49" s="193" t="s">
        <v>88</v>
      </c>
      <c r="D49" s="193"/>
      <c r="E49" s="193"/>
    </row>
    <row r="50" spans="3:11" ht="55.5" customHeight="1" x14ac:dyDescent="0.25">
      <c r="C50" s="207" t="s">
        <v>110</v>
      </c>
      <c r="D50" s="208"/>
      <c r="E50" s="209"/>
      <c r="F50" s="210"/>
      <c r="G50" s="210"/>
      <c r="H50" s="210"/>
      <c r="I50" s="210"/>
      <c r="J50" s="210"/>
      <c r="K50" s="211"/>
    </row>
    <row r="51" spans="3:11" x14ac:dyDescent="0.25">
      <c r="C51" s="212" t="s">
        <v>81</v>
      </c>
      <c r="D51" s="110" t="s">
        <v>80</v>
      </c>
      <c r="E51" s="110" t="s">
        <v>79</v>
      </c>
      <c r="F51" s="213"/>
      <c r="G51" s="213"/>
      <c r="H51" s="213"/>
      <c r="I51" s="213"/>
      <c r="J51" s="213"/>
      <c r="K51" s="214"/>
    </row>
    <row r="52" spans="3:11" x14ac:dyDescent="0.25">
      <c r="C52" s="146" t="s">
        <v>89</v>
      </c>
      <c r="D52" s="107" t="s">
        <v>90</v>
      </c>
      <c r="E52" s="108">
        <v>8</v>
      </c>
      <c r="F52" s="213"/>
      <c r="G52" s="213"/>
      <c r="H52" s="213"/>
      <c r="I52" s="213"/>
      <c r="J52" s="213"/>
      <c r="K52" s="214"/>
    </row>
    <row r="53" spans="3:11" x14ac:dyDescent="0.25">
      <c r="C53" s="156" t="s">
        <v>91</v>
      </c>
      <c r="D53" s="107" t="s">
        <v>92</v>
      </c>
      <c r="E53" s="108">
        <v>8</v>
      </c>
      <c r="F53" s="213"/>
      <c r="G53" s="213"/>
      <c r="H53" s="213"/>
      <c r="I53" s="213"/>
      <c r="J53" s="213"/>
      <c r="K53" s="214"/>
    </row>
    <row r="54" spans="3:11" x14ac:dyDescent="0.25">
      <c r="C54" s="156"/>
      <c r="D54" s="111" t="s">
        <v>98</v>
      </c>
      <c r="E54" s="108">
        <v>8</v>
      </c>
      <c r="F54" s="213"/>
      <c r="G54" s="213"/>
      <c r="H54" s="213"/>
      <c r="I54" s="213"/>
      <c r="J54" s="213"/>
      <c r="K54" s="214"/>
    </row>
    <row r="55" spans="3:11" x14ac:dyDescent="0.25">
      <c r="C55" s="146" t="s">
        <v>82</v>
      </c>
      <c r="D55" s="107" t="s">
        <v>85</v>
      </c>
      <c r="E55" s="108">
        <v>16</v>
      </c>
      <c r="F55" s="213"/>
      <c r="G55" s="213"/>
      <c r="H55" s="213"/>
      <c r="I55" s="213"/>
      <c r="J55" s="213"/>
      <c r="K55" s="214"/>
    </row>
    <row r="56" spans="3:11" x14ac:dyDescent="0.25">
      <c r="C56" s="146" t="s">
        <v>93</v>
      </c>
      <c r="D56" s="107" t="s">
        <v>85</v>
      </c>
      <c r="E56" s="108">
        <v>16</v>
      </c>
      <c r="F56" s="213"/>
      <c r="G56" s="213"/>
      <c r="H56" s="213"/>
      <c r="I56" s="213"/>
      <c r="J56" s="213"/>
      <c r="K56" s="214"/>
    </row>
    <row r="57" spans="3:11" x14ac:dyDescent="0.25">
      <c r="C57" s="146" t="s">
        <v>94</v>
      </c>
      <c r="D57" s="107" t="s">
        <v>62</v>
      </c>
      <c r="E57" s="108">
        <v>16</v>
      </c>
      <c r="F57" s="213"/>
      <c r="G57" s="213"/>
      <c r="H57" s="213"/>
      <c r="I57" s="213"/>
      <c r="J57" s="213"/>
      <c r="K57" s="214"/>
    </row>
    <row r="58" spans="3:11" x14ac:dyDescent="0.25">
      <c r="C58" s="215"/>
      <c r="D58" s="206"/>
      <c r="E58" s="196"/>
      <c r="F58" s="213"/>
      <c r="G58" s="213"/>
      <c r="H58" s="213"/>
      <c r="I58" s="213"/>
      <c r="J58" s="213"/>
      <c r="K58" s="214"/>
    </row>
    <row r="59" spans="3:11" x14ac:dyDescent="0.25">
      <c r="C59" s="216" t="s">
        <v>144</v>
      </c>
      <c r="D59" s="217"/>
      <c r="E59" s="196"/>
      <c r="F59" s="213"/>
      <c r="G59" s="213"/>
      <c r="H59" s="213"/>
      <c r="I59" s="213"/>
      <c r="J59" s="213"/>
      <c r="K59" s="214"/>
    </row>
    <row r="60" spans="3:11" ht="45" x14ac:dyDescent="0.25">
      <c r="C60" s="218" t="s">
        <v>150</v>
      </c>
      <c r="D60" s="153" t="s">
        <v>80</v>
      </c>
      <c r="E60" s="152" t="s">
        <v>146</v>
      </c>
      <c r="F60" s="152" t="s">
        <v>147</v>
      </c>
      <c r="G60" s="153" t="s">
        <v>148</v>
      </c>
      <c r="H60" s="154" t="s">
        <v>149</v>
      </c>
      <c r="I60" s="213"/>
      <c r="J60" s="213"/>
      <c r="K60" s="214"/>
    </row>
    <row r="61" spans="3:11" x14ac:dyDescent="0.25">
      <c r="C61" s="219" t="s">
        <v>89</v>
      </c>
      <c r="D61" s="155" t="s">
        <v>145</v>
      </c>
      <c r="E61" s="110">
        <v>4.4000000000000003E-3</v>
      </c>
      <c r="F61" s="110">
        <v>3.5200000000000002E-2</v>
      </c>
      <c r="G61" s="110">
        <v>0.06</v>
      </c>
      <c r="H61" s="110">
        <v>0.48</v>
      </c>
      <c r="I61" s="213"/>
      <c r="J61" s="213"/>
      <c r="K61" s="214"/>
    </row>
    <row r="62" spans="3:11" x14ac:dyDescent="0.25">
      <c r="C62" s="215"/>
      <c r="D62" s="206"/>
      <c r="E62" s="196"/>
      <c r="F62" s="213"/>
      <c r="G62" s="213"/>
      <c r="H62" s="213"/>
      <c r="I62" s="213"/>
      <c r="J62" s="213"/>
      <c r="K62" s="214"/>
    </row>
    <row r="63" spans="3:11" x14ac:dyDescent="0.25">
      <c r="C63" s="220" t="s">
        <v>102</v>
      </c>
      <c r="D63" s="221"/>
      <c r="E63" s="221"/>
      <c r="F63" s="213"/>
      <c r="G63" s="213"/>
      <c r="H63" s="213"/>
      <c r="I63" s="213"/>
      <c r="J63" s="213"/>
      <c r="K63" s="214"/>
    </row>
    <row r="64" spans="3:11" x14ac:dyDescent="0.25">
      <c r="C64" s="222" t="s">
        <v>103</v>
      </c>
      <c r="D64" s="122" t="s">
        <v>104</v>
      </c>
      <c r="E64" s="113" t="s">
        <v>105</v>
      </c>
      <c r="F64" s="113" t="s">
        <v>106</v>
      </c>
      <c r="G64" s="113" t="s">
        <v>107</v>
      </c>
      <c r="H64" s="119" t="s">
        <v>114</v>
      </c>
      <c r="I64" s="120" t="s">
        <v>115</v>
      </c>
      <c r="J64" s="108" t="s">
        <v>79</v>
      </c>
      <c r="K64" s="223" t="s">
        <v>7</v>
      </c>
    </row>
    <row r="65" spans="3:11" ht="30" x14ac:dyDescent="0.25">
      <c r="C65" s="224" t="s">
        <v>33</v>
      </c>
      <c r="D65" s="124" t="s">
        <v>34</v>
      </c>
      <c r="E65" s="108">
        <v>0.52</v>
      </c>
      <c r="F65" s="113">
        <v>180</v>
      </c>
      <c r="G65" s="108">
        <v>1.1000000000000001</v>
      </c>
      <c r="H65" s="108">
        <f>E65*F65*G65</f>
        <v>102.96000000000002</v>
      </c>
      <c r="I65" s="108">
        <f>H65*2</f>
        <v>205.92000000000004</v>
      </c>
      <c r="J65" s="108">
        <v>2</v>
      </c>
      <c r="K65" s="225">
        <v>8014</v>
      </c>
    </row>
    <row r="66" spans="3:11" x14ac:dyDescent="0.25">
      <c r="C66" s="224" t="s">
        <v>108</v>
      </c>
      <c r="D66" s="124" t="s">
        <v>109</v>
      </c>
      <c r="E66" s="108">
        <v>0.15</v>
      </c>
      <c r="F66" s="113">
        <v>180</v>
      </c>
      <c r="G66" s="108">
        <v>1.1000000000000001</v>
      </c>
      <c r="H66" s="110">
        <f>E66*F66*G66</f>
        <v>29.700000000000003</v>
      </c>
      <c r="I66" s="110">
        <f>H66*4</f>
        <v>118.80000000000001</v>
      </c>
      <c r="J66" s="108">
        <v>4</v>
      </c>
      <c r="K66" s="225">
        <v>8014</v>
      </c>
    </row>
    <row r="67" spans="3:11" ht="30" x14ac:dyDescent="0.25">
      <c r="C67" s="224" t="s">
        <v>43</v>
      </c>
      <c r="D67" s="124" t="s">
        <v>44</v>
      </c>
      <c r="E67" s="108">
        <v>0.4</v>
      </c>
      <c r="F67" s="113">
        <v>180</v>
      </c>
      <c r="G67" s="108">
        <v>1.1000000000000001</v>
      </c>
      <c r="H67" s="110">
        <f t="shared" ref="H67:H69" si="8">E67*F67*G67</f>
        <v>79.2</v>
      </c>
      <c r="I67" s="110">
        <f>H67*J67</f>
        <v>158.4</v>
      </c>
      <c r="J67" s="110">
        <v>2</v>
      </c>
      <c r="K67" s="225" t="s">
        <v>112</v>
      </c>
    </row>
    <row r="68" spans="3:11" ht="30" x14ac:dyDescent="0.25">
      <c r="C68" s="224" t="s">
        <v>43</v>
      </c>
      <c r="D68" s="124" t="s">
        <v>44</v>
      </c>
      <c r="E68" s="108">
        <v>0.4</v>
      </c>
      <c r="F68" s="113">
        <v>180</v>
      </c>
      <c r="G68" s="108">
        <v>1.1000000000000001</v>
      </c>
      <c r="H68" s="110">
        <f t="shared" si="8"/>
        <v>79.2</v>
      </c>
      <c r="I68" s="110">
        <f>H68*J68</f>
        <v>158.4</v>
      </c>
      <c r="J68" s="110">
        <v>2</v>
      </c>
      <c r="K68" s="225" t="s">
        <v>113</v>
      </c>
    </row>
    <row r="69" spans="3:11" ht="15.75" thickBot="1" x14ac:dyDescent="0.3">
      <c r="C69" s="226" t="s">
        <v>40</v>
      </c>
      <c r="D69" s="227" t="s">
        <v>41</v>
      </c>
      <c r="E69" s="228">
        <v>0.01</v>
      </c>
      <c r="F69" s="229">
        <v>200</v>
      </c>
      <c r="G69" s="228">
        <v>1.1000000000000001</v>
      </c>
      <c r="H69" s="230">
        <f t="shared" si="8"/>
        <v>2.2000000000000002</v>
      </c>
      <c r="I69" s="230">
        <f>H69*J69</f>
        <v>17.600000000000001</v>
      </c>
      <c r="J69" s="230">
        <v>8</v>
      </c>
      <c r="K69" s="231" t="s">
        <v>116</v>
      </c>
    </row>
    <row r="70" spans="3:11" ht="15.75" thickBot="1" x14ac:dyDescent="0.3"/>
    <row r="71" spans="3:11" ht="45" x14ac:dyDescent="0.25">
      <c r="C71" s="232" t="s">
        <v>95</v>
      </c>
      <c r="D71" s="208"/>
      <c r="E71" s="209"/>
      <c r="F71" s="210"/>
      <c r="G71" s="210"/>
      <c r="H71" s="210"/>
      <c r="I71" s="210"/>
      <c r="J71" s="210"/>
      <c r="K71" s="211"/>
    </row>
    <row r="72" spans="3:11" x14ac:dyDescent="0.25">
      <c r="C72" s="212" t="s">
        <v>81</v>
      </c>
      <c r="D72" s="110" t="s">
        <v>80</v>
      </c>
      <c r="E72" s="110" t="s">
        <v>79</v>
      </c>
      <c r="F72" s="213"/>
      <c r="G72" s="213"/>
      <c r="H72" s="213"/>
      <c r="I72" s="213"/>
      <c r="J72" s="213"/>
      <c r="K72" s="214"/>
    </row>
    <row r="73" spans="3:11" x14ac:dyDescent="0.25">
      <c r="C73" s="233" t="s">
        <v>89</v>
      </c>
      <c r="D73" s="111" t="s">
        <v>97</v>
      </c>
      <c r="E73" s="108">
        <v>4</v>
      </c>
      <c r="F73" s="213"/>
      <c r="G73" s="213"/>
      <c r="H73" s="213"/>
      <c r="I73" s="213"/>
      <c r="J73" s="213"/>
      <c r="K73" s="214"/>
    </row>
    <row r="74" spans="3:11" ht="14.25" customHeight="1" x14ac:dyDescent="0.25">
      <c r="C74" s="233" t="s">
        <v>91</v>
      </c>
      <c r="D74" s="111" t="s">
        <v>78</v>
      </c>
      <c r="E74" s="108">
        <v>8</v>
      </c>
      <c r="F74" s="213"/>
      <c r="G74" s="213"/>
      <c r="H74" s="213"/>
      <c r="I74" s="213"/>
      <c r="J74" s="213"/>
      <c r="K74" s="214"/>
    </row>
    <row r="75" spans="3:11" ht="30" x14ac:dyDescent="0.25">
      <c r="C75" s="234" t="s">
        <v>99</v>
      </c>
      <c r="D75" s="112" t="s">
        <v>121</v>
      </c>
      <c r="E75" s="108">
        <v>15</v>
      </c>
      <c r="F75" s="213"/>
      <c r="G75" s="213"/>
      <c r="H75" s="213"/>
      <c r="I75" s="213"/>
      <c r="J75" s="213"/>
      <c r="K75" s="214"/>
    </row>
    <row r="76" spans="3:11" x14ac:dyDescent="0.25">
      <c r="C76" s="233" t="s">
        <v>87</v>
      </c>
      <c r="D76" s="111" t="s">
        <v>85</v>
      </c>
      <c r="E76" s="108">
        <v>8</v>
      </c>
      <c r="F76" s="213"/>
      <c r="G76" s="213"/>
      <c r="H76" s="213"/>
      <c r="I76" s="213"/>
      <c r="J76" s="213"/>
      <c r="K76" s="214"/>
    </row>
    <row r="77" spans="3:11" x14ac:dyDescent="0.25">
      <c r="C77" s="233" t="s">
        <v>100</v>
      </c>
      <c r="D77" s="111" t="s">
        <v>85</v>
      </c>
      <c r="E77" s="108">
        <v>8</v>
      </c>
      <c r="F77" s="213"/>
      <c r="G77" s="213"/>
      <c r="H77" s="213"/>
      <c r="I77" s="213"/>
      <c r="J77" s="213"/>
      <c r="K77" s="214"/>
    </row>
    <row r="78" spans="3:11" x14ac:dyDescent="0.25">
      <c r="C78" s="233" t="s">
        <v>101</v>
      </c>
      <c r="D78" s="107" t="s">
        <v>62</v>
      </c>
      <c r="E78" s="108">
        <v>8</v>
      </c>
      <c r="F78" s="213"/>
      <c r="G78" s="213"/>
      <c r="H78" s="213"/>
      <c r="I78" s="213"/>
      <c r="J78" s="213"/>
      <c r="K78" s="214"/>
    </row>
    <row r="79" spans="3:11" x14ac:dyDescent="0.25">
      <c r="C79" s="235"/>
      <c r="D79" s="206"/>
      <c r="E79" s="196"/>
      <c r="F79" s="213"/>
      <c r="G79" s="213"/>
      <c r="H79" s="213"/>
      <c r="I79" s="213"/>
      <c r="J79" s="213"/>
      <c r="K79" s="214"/>
    </row>
    <row r="80" spans="3:11" x14ac:dyDescent="0.25">
      <c r="C80" s="236" t="s">
        <v>175</v>
      </c>
      <c r="D80" s="217"/>
      <c r="E80" s="196"/>
      <c r="F80" s="213"/>
      <c r="G80" s="213"/>
      <c r="H80" s="213"/>
      <c r="I80" s="213"/>
      <c r="J80" s="213"/>
      <c r="K80" s="214"/>
    </row>
    <row r="81" spans="3:11" ht="45" x14ac:dyDescent="0.25">
      <c r="C81" s="218" t="s">
        <v>150</v>
      </c>
      <c r="D81" s="153" t="s">
        <v>80</v>
      </c>
      <c r="E81" s="152" t="s">
        <v>146</v>
      </c>
      <c r="F81" s="152" t="s">
        <v>147</v>
      </c>
      <c r="G81" s="153" t="s">
        <v>148</v>
      </c>
      <c r="H81" s="154" t="s">
        <v>149</v>
      </c>
      <c r="I81" s="213"/>
      <c r="J81" s="213"/>
      <c r="K81" s="214"/>
    </row>
    <row r="82" spans="3:11" x14ac:dyDescent="0.25">
      <c r="C82" s="219" t="s">
        <v>89</v>
      </c>
      <c r="D82" s="198" t="s">
        <v>176</v>
      </c>
      <c r="E82" s="110">
        <v>1.4E-2</v>
      </c>
      <c r="F82" s="110">
        <f>E82*4</f>
        <v>5.6000000000000001E-2</v>
      </c>
      <c r="G82" s="110">
        <v>0.32</v>
      </c>
      <c r="H82" s="110">
        <f>G82*4</f>
        <v>1.28</v>
      </c>
      <c r="I82" s="213"/>
      <c r="J82" s="213"/>
      <c r="K82" s="214"/>
    </row>
    <row r="83" spans="3:11" x14ac:dyDescent="0.25">
      <c r="C83" s="235"/>
      <c r="D83" s="206"/>
      <c r="E83" s="196"/>
      <c r="F83" s="213"/>
      <c r="G83" s="213"/>
      <c r="H83" s="213"/>
      <c r="I83" s="213"/>
      <c r="J83" s="213"/>
      <c r="K83" s="214"/>
    </row>
    <row r="84" spans="3:11" x14ac:dyDescent="0.25">
      <c r="C84" s="220" t="s">
        <v>102</v>
      </c>
      <c r="D84" s="221"/>
      <c r="E84" s="221"/>
      <c r="F84" s="213"/>
      <c r="G84" s="213"/>
      <c r="H84" s="213"/>
      <c r="I84" s="213"/>
      <c r="J84" s="213"/>
      <c r="K84" s="214"/>
    </row>
    <row r="85" spans="3:11" x14ac:dyDescent="0.25">
      <c r="C85" s="222" t="s">
        <v>103</v>
      </c>
      <c r="D85" s="122" t="s">
        <v>104</v>
      </c>
      <c r="E85" s="113" t="s">
        <v>105</v>
      </c>
      <c r="F85" s="113" t="s">
        <v>106</v>
      </c>
      <c r="G85" s="113" t="s">
        <v>107</v>
      </c>
      <c r="H85" s="119" t="s">
        <v>114</v>
      </c>
      <c r="I85" s="120" t="s">
        <v>115</v>
      </c>
      <c r="J85" s="108" t="s">
        <v>79</v>
      </c>
      <c r="K85" s="223" t="s">
        <v>7</v>
      </c>
    </row>
    <row r="86" spans="3:11" x14ac:dyDescent="0.25">
      <c r="C86" s="222"/>
      <c r="D86" s="125" t="s">
        <v>118</v>
      </c>
      <c r="E86" s="113">
        <v>0.16</v>
      </c>
      <c r="F86" s="113">
        <v>180</v>
      </c>
      <c r="G86" s="113">
        <v>1.1000000000000001</v>
      </c>
      <c r="H86" s="119">
        <f>E86*F86*G86</f>
        <v>31.680000000000003</v>
      </c>
      <c r="I86" s="126">
        <f>H86*J86</f>
        <v>63.360000000000007</v>
      </c>
      <c r="J86" s="108">
        <v>2</v>
      </c>
      <c r="K86" s="237" t="s">
        <v>120</v>
      </c>
    </row>
    <row r="87" spans="3:11" x14ac:dyDescent="0.25">
      <c r="C87" s="222"/>
      <c r="D87" s="125" t="s">
        <v>119</v>
      </c>
      <c r="E87" s="113">
        <v>0.11</v>
      </c>
      <c r="F87" s="113">
        <v>180</v>
      </c>
      <c r="G87" s="113">
        <v>1.1000000000000001</v>
      </c>
      <c r="H87" s="119">
        <f>E87*F87*G87</f>
        <v>21.78</v>
      </c>
      <c r="I87" s="126">
        <f>H87*J87</f>
        <v>43.56</v>
      </c>
      <c r="J87" s="108">
        <v>2</v>
      </c>
      <c r="K87" s="237" t="s">
        <v>120</v>
      </c>
    </row>
    <row r="88" spans="3:11" ht="15.75" thickBot="1" x14ac:dyDescent="0.3">
      <c r="C88" s="238"/>
      <c r="D88" s="239" t="s">
        <v>117</v>
      </c>
      <c r="E88" s="228">
        <v>0.02</v>
      </c>
      <c r="F88" s="228">
        <v>200</v>
      </c>
      <c r="G88" s="228">
        <v>1.1000000000000001</v>
      </c>
      <c r="H88" s="228">
        <f>E88*F88*G88</f>
        <v>4.4000000000000004</v>
      </c>
      <c r="I88" s="228">
        <f>H88*J88</f>
        <v>17.600000000000001</v>
      </c>
      <c r="J88" s="228">
        <v>4</v>
      </c>
      <c r="K88" s="240">
        <v>9007</v>
      </c>
    </row>
    <row r="89" spans="3:11" ht="15.75" thickBot="1" x14ac:dyDescent="0.3">
      <c r="C89" s="116"/>
      <c r="D89" s="3"/>
      <c r="K89" s="97"/>
    </row>
    <row r="90" spans="3:11" ht="58.5" customHeight="1" x14ac:dyDescent="0.25">
      <c r="C90" s="241" t="s">
        <v>111</v>
      </c>
      <c r="D90" s="242"/>
      <c r="E90" s="243"/>
      <c r="F90" s="210"/>
      <c r="G90" s="210"/>
      <c r="H90" s="210"/>
      <c r="I90" s="210"/>
      <c r="J90" s="210"/>
      <c r="K90" s="211"/>
    </row>
    <row r="91" spans="3:11" x14ac:dyDescent="0.25">
      <c r="C91" s="212" t="s">
        <v>81</v>
      </c>
      <c r="D91" s="110" t="s">
        <v>80</v>
      </c>
      <c r="E91" s="110" t="s">
        <v>79</v>
      </c>
      <c r="F91" s="213"/>
      <c r="G91" s="213"/>
      <c r="H91" s="213"/>
      <c r="I91" s="213"/>
      <c r="J91" s="213"/>
      <c r="K91" s="214"/>
    </row>
    <row r="92" spans="3:11" x14ac:dyDescent="0.25">
      <c r="C92" s="244" t="s">
        <v>91</v>
      </c>
      <c r="D92" s="111" t="s">
        <v>78</v>
      </c>
      <c r="E92" s="108">
        <v>18</v>
      </c>
      <c r="F92" s="213"/>
      <c r="G92" s="213"/>
      <c r="H92" s="213"/>
      <c r="I92" s="213"/>
      <c r="J92" s="213"/>
      <c r="K92" s="214"/>
    </row>
    <row r="93" spans="3:11" x14ac:dyDescent="0.25">
      <c r="C93" s="244"/>
      <c r="D93" s="111" t="s">
        <v>92</v>
      </c>
      <c r="E93" s="108">
        <v>2</v>
      </c>
      <c r="F93" s="213"/>
      <c r="G93" s="213"/>
      <c r="H93" s="213"/>
      <c r="I93" s="213"/>
      <c r="J93" s="213"/>
      <c r="K93" s="214"/>
    </row>
    <row r="94" spans="3:11" x14ac:dyDescent="0.25">
      <c r="C94" s="245" t="s">
        <v>87</v>
      </c>
      <c r="D94" s="111" t="s">
        <v>85</v>
      </c>
      <c r="E94" s="108">
        <f>E92+E93</f>
        <v>20</v>
      </c>
      <c r="F94" s="213"/>
      <c r="G94" s="213"/>
      <c r="H94" s="213"/>
      <c r="I94" s="213"/>
      <c r="J94" s="213"/>
      <c r="K94" s="214"/>
    </row>
    <row r="95" spans="3:11" x14ac:dyDescent="0.25">
      <c r="C95" s="233" t="s">
        <v>100</v>
      </c>
      <c r="D95" s="111" t="s">
        <v>85</v>
      </c>
      <c r="E95" s="108">
        <v>20</v>
      </c>
      <c r="F95" s="213"/>
      <c r="G95" s="213"/>
      <c r="H95" s="213"/>
      <c r="I95" s="213"/>
      <c r="J95" s="213"/>
      <c r="K95" s="214"/>
    </row>
    <row r="96" spans="3:11" x14ac:dyDescent="0.25">
      <c r="C96" s="233" t="s">
        <v>101</v>
      </c>
      <c r="D96" s="107" t="s">
        <v>62</v>
      </c>
      <c r="E96" s="108">
        <v>20</v>
      </c>
      <c r="F96" s="213"/>
      <c r="G96" s="213"/>
      <c r="H96" s="213"/>
      <c r="I96" s="213"/>
      <c r="J96" s="213"/>
      <c r="K96" s="214"/>
    </row>
    <row r="97" spans="3:11" x14ac:dyDescent="0.25">
      <c r="C97" s="235"/>
      <c r="D97" s="206"/>
      <c r="E97" s="196"/>
      <c r="F97" s="213"/>
      <c r="G97" s="213"/>
      <c r="H97" s="213"/>
      <c r="I97" s="213"/>
      <c r="J97" s="213"/>
      <c r="K97" s="214"/>
    </row>
    <row r="98" spans="3:11" x14ac:dyDescent="0.25">
      <c r="C98" s="236" t="s">
        <v>168</v>
      </c>
      <c r="D98" s="217"/>
      <c r="E98" s="196"/>
      <c r="F98" s="213"/>
      <c r="G98" s="213"/>
      <c r="H98" s="213"/>
      <c r="I98" s="213"/>
      <c r="J98" s="213"/>
      <c r="K98" s="214"/>
    </row>
    <row r="99" spans="3:11" ht="45" x14ac:dyDescent="0.25">
      <c r="C99" s="218" t="s">
        <v>150</v>
      </c>
      <c r="D99" s="199" t="s">
        <v>158</v>
      </c>
      <c r="E99" s="201" t="s">
        <v>154</v>
      </c>
      <c r="F99" s="201" t="s">
        <v>155</v>
      </c>
      <c r="G99" s="153" t="s">
        <v>148</v>
      </c>
      <c r="H99" s="154" t="s">
        <v>149</v>
      </c>
      <c r="I99" s="213"/>
      <c r="J99" s="213"/>
      <c r="K99" s="214"/>
    </row>
    <row r="100" spans="3:11" ht="30" x14ac:dyDescent="0.25">
      <c r="C100" s="246" t="s">
        <v>161</v>
      </c>
      <c r="D100" s="199" t="s">
        <v>169</v>
      </c>
      <c r="E100" s="110">
        <v>0.5</v>
      </c>
      <c r="F100" s="110">
        <v>0.5</v>
      </c>
      <c r="G100" s="110">
        <v>1.34</v>
      </c>
      <c r="H100" s="110">
        <v>1.34</v>
      </c>
      <c r="I100" s="213"/>
      <c r="J100" s="213"/>
      <c r="K100" s="214"/>
    </row>
    <row r="101" spans="3:11" x14ac:dyDescent="0.25">
      <c r="C101" s="247" t="s">
        <v>153</v>
      </c>
      <c r="D101" s="203" t="s">
        <v>170</v>
      </c>
      <c r="E101" s="108">
        <v>2.8E-3</v>
      </c>
      <c r="F101" s="108">
        <v>5.5999999999999999E-3</v>
      </c>
      <c r="G101" s="108">
        <v>6.6000000000000003E-2</v>
      </c>
      <c r="H101" s="108">
        <v>0.13200000000000001</v>
      </c>
      <c r="I101" s="213"/>
      <c r="J101" s="213"/>
      <c r="K101" s="214"/>
    </row>
    <row r="102" spans="3:11" x14ac:dyDescent="0.25">
      <c r="C102" s="248"/>
      <c r="D102" s="205"/>
      <c r="E102" s="196"/>
      <c r="F102" s="196"/>
      <c r="G102" s="196"/>
      <c r="H102" s="196"/>
      <c r="I102" s="213"/>
      <c r="J102" s="213"/>
      <c r="K102" s="214"/>
    </row>
    <row r="103" spans="3:11" x14ac:dyDescent="0.25">
      <c r="C103" s="236" t="s">
        <v>172</v>
      </c>
      <c r="D103" s="217"/>
      <c r="E103" s="196"/>
      <c r="F103" s="213"/>
      <c r="G103" s="213"/>
      <c r="H103" s="213"/>
      <c r="I103" s="213"/>
      <c r="J103" s="213"/>
      <c r="K103" s="214"/>
    </row>
    <row r="104" spans="3:11" ht="45" x14ac:dyDescent="0.25">
      <c r="C104" s="218" t="s">
        <v>150</v>
      </c>
      <c r="D104" s="199" t="s">
        <v>158</v>
      </c>
      <c r="E104" s="201" t="s">
        <v>154</v>
      </c>
      <c r="F104" s="201" t="s">
        <v>155</v>
      </c>
      <c r="G104" s="153" t="s">
        <v>148</v>
      </c>
      <c r="H104" s="154" t="s">
        <v>149</v>
      </c>
      <c r="I104" s="213"/>
      <c r="J104" s="213"/>
      <c r="K104" s="214"/>
    </row>
    <row r="105" spans="3:11" x14ac:dyDescent="0.25">
      <c r="C105" s="246" t="s">
        <v>151</v>
      </c>
      <c r="D105" s="199" t="s">
        <v>171</v>
      </c>
      <c r="E105" s="110">
        <v>0.5</v>
      </c>
      <c r="F105" s="110">
        <v>2</v>
      </c>
      <c r="G105" s="110">
        <v>0.56000000000000005</v>
      </c>
      <c r="H105" s="110">
        <f>G105*4</f>
        <v>2.2400000000000002</v>
      </c>
      <c r="I105" s="213"/>
      <c r="J105" s="213"/>
      <c r="K105" s="214"/>
    </row>
    <row r="106" spans="3:11" x14ac:dyDescent="0.25">
      <c r="C106" s="247" t="s">
        <v>153</v>
      </c>
      <c r="D106" s="203" t="s">
        <v>156</v>
      </c>
      <c r="E106" s="108">
        <v>4.7999999999999996E-3</v>
      </c>
      <c r="F106" s="108">
        <f>E106*8</f>
        <v>3.8399999999999997E-2</v>
      </c>
      <c r="G106" s="108">
        <v>1.0999999999999999E-2</v>
      </c>
      <c r="H106" s="108">
        <f>G106*8</f>
        <v>8.7999999999999995E-2</v>
      </c>
      <c r="I106" s="213"/>
      <c r="J106" s="213"/>
      <c r="K106" s="214"/>
    </row>
    <row r="107" spans="3:11" x14ac:dyDescent="0.25">
      <c r="C107" s="248"/>
      <c r="D107" s="205"/>
      <c r="E107" s="196"/>
      <c r="F107" s="196"/>
      <c r="G107" s="196"/>
      <c r="H107" s="196"/>
      <c r="I107" s="213"/>
      <c r="J107" s="213"/>
      <c r="K107" s="214"/>
    </row>
    <row r="108" spans="3:11" x14ac:dyDescent="0.25">
      <c r="C108" s="236" t="s">
        <v>173</v>
      </c>
      <c r="D108" s="217"/>
      <c r="E108" s="196"/>
      <c r="F108" s="213"/>
      <c r="G108" s="213"/>
      <c r="H108" s="213"/>
      <c r="I108" s="213"/>
      <c r="J108" s="213"/>
      <c r="K108" s="214"/>
    </row>
    <row r="109" spans="3:11" ht="45" x14ac:dyDescent="0.25">
      <c r="C109" s="218" t="s">
        <v>150</v>
      </c>
      <c r="D109" s="199" t="s">
        <v>158</v>
      </c>
      <c r="E109" s="201" t="s">
        <v>154</v>
      </c>
      <c r="F109" s="201" t="s">
        <v>155</v>
      </c>
      <c r="G109" s="153" t="s">
        <v>148</v>
      </c>
      <c r="H109" s="154" t="s">
        <v>149</v>
      </c>
      <c r="I109" s="213"/>
      <c r="J109" s="213"/>
      <c r="K109" s="214"/>
    </row>
    <row r="110" spans="3:11" ht="30" x14ac:dyDescent="0.25">
      <c r="C110" s="246" t="s">
        <v>161</v>
      </c>
      <c r="D110" s="199" t="s">
        <v>169</v>
      </c>
      <c r="E110" s="110">
        <v>0.5</v>
      </c>
      <c r="F110" s="110">
        <v>0.5</v>
      </c>
      <c r="G110" s="110">
        <v>1.34</v>
      </c>
      <c r="H110" s="110">
        <v>1.34</v>
      </c>
      <c r="I110" s="213"/>
      <c r="J110" s="213"/>
      <c r="K110" s="214"/>
    </row>
    <row r="111" spans="3:11" x14ac:dyDescent="0.25">
      <c r="C111" s="247" t="s">
        <v>153</v>
      </c>
      <c r="D111" s="203" t="s">
        <v>170</v>
      </c>
      <c r="E111" s="108">
        <v>2.8E-3</v>
      </c>
      <c r="F111" s="108">
        <v>5.5999999999999999E-3</v>
      </c>
      <c r="G111" s="108">
        <v>6.6000000000000003E-2</v>
      </c>
      <c r="H111" s="108">
        <v>0.13200000000000001</v>
      </c>
      <c r="I111" s="213"/>
      <c r="J111" s="213"/>
      <c r="K111" s="214"/>
    </row>
    <row r="112" spans="3:11" x14ac:dyDescent="0.25">
      <c r="C112" s="246" t="s">
        <v>151</v>
      </c>
      <c r="D112" s="199" t="s">
        <v>174</v>
      </c>
      <c r="E112" s="110">
        <v>0.4</v>
      </c>
      <c r="F112" s="110">
        <v>0.8</v>
      </c>
      <c r="G112" s="110">
        <v>0.71</v>
      </c>
      <c r="H112" s="110">
        <f>G112*2</f>
        <v>1.42</v>
      </c>
      <c r="I112" s="213"/>
      <c r="J112" s="213"/>
      <c r="K112" s="214"/>
    </row>
    <row r="113" spans="3:11" x14ac:dyDescent="0.25">
      <c r="C113" s="248"/>
      <c r="D113" s="205"/>
      <c r="E113" s="196"/>
      <c r="F113" s="196"/>
      <c r="G113" s="196"/>
      <c r="H113" s="196"/>
      <c r="I113" s="213"/>
      <c r="J113" s="213"/>
      <c r="K113" s="214"/>
    </row>
    <row r="114" spans="3:11" x14ac:dyDescent="0.25">
      <c r="C114" s="236" t="s">
        <v>102</v>
      </c>
      <c r="D114" s="221"/>
      <c r="E114" s="221"/>
      <c r="F114" s="213"/>
      <c r="G114" s="213"/>
      <c r="H114" s="213"/>
      <c r="I114" s="213"/>
      <c r="J114" s="213"/>
      <c r="K114" s="214"/>
    </row>
    <row r="115" spans="3:11" x14ac:dyDescent="0.25">
      <c r="C115" s="222" t="s">
        <v>103</v>
      </c>
      <c r="D115" s="122" t="s">
        <v>104</v>
      </c>
      <c r="E115" s="113" t="s">
        <v>105</v>
      </c>
      <c r="F115" s="113" t="s">
        <v>106</v>
      </c>
      <c r="G115" s="113" t="s">
        <v>107</v>
      </c>
      <c r="H115" s="119" t="s">
        <v>114</v>
      </c>
      <c r="I115" s="120" t="s">
        <v>115</v>
      </c>
      <c r="J115" s="108" t="s">
        <v>79</v>
      </c>
      <c r="K115" s="223" t="s">
        <v>7</v>
      </c>
    </row>
    <row r="116" spans="3:11" x14ac:dyDescent="0.25">
      <c r="C116" s="249" t="s">
        <v>122</v>
      </c>
      <c r="D116" s="111" t="s">
        <v>125</v>
      </c>
      <c r="E116" s="108">
        <v>1.1100000000000001</v>
      </c>
      <c r="F116" s="108">
        <v>180</v>
      </c>
      <c r="G116" s="108">
        <v>1.1000000000000001</v>
      </c>
      <c r="H116" s="106">
        <f>E116*F116*G116</f>
        <v>219.78000000000003</v>
      </c>
      <c r="I116" s="108">
        <f>H116*J116</f>
        <v>219.78000000000003</v>
      </c>
      <c r="J116" s="108">
        <v>1</v>
      </c>
      <c r="K116" s="225">
        <v>5017</v>
      </c>
    </row>
    <row r="117" spans="3:11" x14ac:dyDescent="0.25">
      <c r="C117" s="249" t="s">
        <v>123</v>
      </c>
      <c r="D117" s="111" t="s">
        <v>126</v>
      </c>
      <c r="E117" s="108">
        <v>1.1100000000000001</v>
      </c>
      <c r="F117" s="108">
        <v>180</v>
      </c>
      <c r="G117" s="108">
        <v>1.1000000000000001</v>
      </c>
      <c r="H117" s="106">
        <f t="shared" ref="H117:H118" si="9">E117*F117*G117</f>
        <v>219.78000000000003</v>
      </c>
      <c r="I117" s="108">
        <f t="shared" ref="I117:I122" si="10">H117*J117</f>
        <v>219.78000000000003</v>
      </c>
      <c r="J117" s="108">
        <v>1</v>
      </c>
      <c r="K117" s="237" t="s">
        <v>128</v>
      </c>
    </row>
    <row r="118" spans="3:11" x14ac:dyDescent="0.25">
      <c r="C118" s="249" t="s">
        <v>124</v>
      </c>
      <c r="D118" s="111" t="s">
        <v>127</v>
      </c>
      <c r="E118" s="108">
        <v>0.23</v>
      </c>
      <c r="F118" s="108">
        <v>180</v>
      </c>
      <c r="G118" s="108">
        <v>1.1000000000000001</v>
      </c>
      <c r="H118" s="106">
        <f t="shared" si="9"/>
        <v>45.54</v>
      </c>
      <c r="I118" s="108">
        <f t="shared" si="10"/>
        <v>91.08</v>
      </c>
      <c r="J118" s="108">
        <v>2</v>
      </c>
      <c r="K118" s="237" t="s">
        <v>128</v>
      </c>
    </row>
    <row r="119" spans="3:11" x14ac:dyDescent="0.25">
      <c r="C119" s="249" t="s">
        <v>130</v>
      </c>
      <c r="D119" s="111" t="s">
        <v>131</v>
      </c>
      <c r="E119" s="108">
        <v>0.5</v>
      </c>
      <c r="F119" s="108">
        <v>180</v>
      </c>
      <c r="G119" s="108">
        <v>1.1000000000000001</v>
      </c>
      <c r="H119" s="106">
        <f t="shared" ref="H119:H122" si="11">E119*F119*G119</f>
        <v>99.000000000000014</v>
      </c>
      <c r="I119" s="108">
        <f t="shared" si="10"/>
        <v>198.00000000000003</v>
      </c>
      <c r="J119" s="108">
        <v>2</v>
      </c>
      <c r="K119" s="237" t="s">
        <v>112</v>
      </c>
    </row>
    <row r="120" spans="3:11" x14ac:dyDescent="0.25">
      <c r="C120" s="249" t="s">
        <v>132</v>
      </c>
      <c r="D120" s="111" t="s">
        <v>135</v>
      </c>
      <c r="E120" s="108">
        <v>0.1</v>
      </c>
      <c r="F120" s="108">
        <v>200</v>
      </c>
      <c r="G120" s="108">
        <v>1.1000000000000001</v>
      </c>
      <c r="H120" s="106">
        <f t="shared" si="11"/>
        <v>22</v>
      </c>
      <c r="I120" s="108">
        <f t="shared" si="10"/>
        <v>22</v>
      </c>
      <c r="J120" s="108">
        <v>1</v>
      </c>
      <c r="K120" s="225">
        <v>9007</v>
      </c>
    </row>
    <row r="121" spans="3:11" x14ac:dyDescent="0.25">
      <c r="C121" s="249" t="s">
        <v>133</v>
      </c>
      <c r="D121" s="111" t="s">
        <v>136</v>
      </c>
      <c r="E121" s="108">
        <v>0.17</v>
      </c>
      <c r="F121" s="108">
        <v>200</v>
      </c>
      <c r="G121" s="108">
        <v>1.1000000000000001</v>
      </c>
      <c r="H121" s="106">
        <f t="shared" si="11"/>
        <v>37.400000000000006</v>
      </c>
      <c r="I121" s="108">
        <f t="shared" si="10"/>
        <v>37.400000000000006</v>
      </c>
      <c r="J121" s="108">
        <v>1</v>
      </c>
      <c r="K121" s="225">
        <v>9007</v>
      </c>
    </row>
    <row r="122" spans="3:11" ht="15.75" thickBot="1" x14ac:dyDescent="0.3">
      <c r="C122" s="250" t="s">
        <v>134</v>
      </c>
      <c r="D122" s="251" t="s">
        <v>137</v>
      </c>
      <c r="E122" s="228">
        <v>0.08</v>
      </c>
      <c r="F122" s="228">
        <v>200</v>
      </c>
      <c r="G122" s="228">
        <v>1.1000000000000001</v>
      </c>
      <c r="H122" s="252">
        <f t="shared" si="11"/>
        <v>17.600000000000001</v>
      </c>
      <c r="I122" s="228">
        <f t="shared" si="10"/>
        <v>70.400000000000006</v>
      </c>
      <c r="J122" s="228">
        <v>4</v>
      </c>
      <c r="K122" s="240">
        <v>9007</v>
      </c>
    </row>
    <row r="123" spans="3:11" x14ac:dyDescent="0.25">
      <c r="C123" s="136"/>
      <c r="D123" s="128"/>
      <c r="F123" s="3"/>
      <c r="G123" s="3"/>
      <c r="I123" s="3"/>
      <c r="J123" s="3"/>
      <c r="K123" s="121"/>
    </row>
    <row r="124" spans="3:11" x14ac:dyDescent="0.25">
      <c r="C124" s="127"/>
      <c r="D124" s="128" t="s">
        <v>129</v>
      </c>
    </row>
    <row r="125" spans="3:11" x14ac:dyDescent="0.25">
      <c r="C125" s="122" t="s">
        <v>103</v>
      </c>
      <c r="D125" s="122" t="s">
        <v>104</v>
      </c>
      <c r="E125" s="113" t="s">
        <v>105</v>
      </c>
      <c r="F125" s="113" t="s">
        <v>106</v>
      </c>
      <c r="G125" s="113" t="s">
        <v>107</v>
      </c>
      <c r="H125" s="119" t="s">
        <v>114</v>
      </c>
      <c r="I125" s="120" t="s">
        <v>115</v>
      </c>
      <c r="J125" s="108" t="s">
        <v>79</v>
      </c>
      <c r="K125" s="118" t="s">
        <v>7</v>
      </c>
    </row>
    <row r="126" spans="3:11" ht="26.25" x14ac:dyDescent="0.25">
      <c r="C126" s="129" t="s">
        <v>48</v>
      </c>
      <c r="D126" s="132" t="s">
        <v>49</v>
      </c>
      <c r="E126" s="108">
        <v>1.07</v>
      </c>
      <c r="F126" s="108">
        <v>180</v>
      </c>
      <c r="G126" s="108">
        <v>1.1000000000000001</v>
      </c>
      <c r="H126" s="108">
        <f>E126*F126*G126</f>
        <v>211.86000000000004</v>
      </c>
      <c r="I126" s="108">
        <f>H126*J126</f>
        <v>423.72000000000008</v>
      </c>
      <c r="J126" s="108">
        <v>2</v>
      </c>
      <c r="K126" s="117">
        <v>2008</v>
      </c>
    </row>
    <row r="127" spans="3:11" ht="26.25" x14ac:dyDescent="0.25">
      <c r="C127" s="129" t="s">
        <v>50</v>
      </c>
      <c r="D127" s="132" t="s">
        <v>51</v>
      </c>
      <c r="E127" s="108">
        <v>0.04</v>
      </c>
      <c r="F127" s="108">
        <v>180</v>
      </c>
      <c r="G127" s="108">
        <v>1.1000000000000001</v>
      </c>
      <c r="H127" s="108">
        <f t="shared" ref="H127:H131" si="12">E127*F127*G127</f>
        <v>7.9200000000000008</v>
      </c>
      <c r="I127" s="108">
        <f t="shared" ref="I127:I131" si="13">H127*J127</f>
        <v>31.680000000000003</v>
      </c>
      <c r="J127" s="108">
        <v>4</v>
      </c>
      <c r="K127" s="139" t="s">
        <v>113</v>
      </c>
    </row>
    <row r="128" spans="3:11" ht="26.25" x14ac:dyDescent="0.25">
      <c r="C128" s="129" t="s">
        <v>52</v>
      </c>
      <c r="D128" s="132" t="s">
        <v>53</v>
      </c>
      <c r="E128" s="108">
        <v>0.18</v>
      </c>
      <c r="F128" s="108">
        <v>180</v>
      </c>
      <c r="G128" s="108">
        <v>1.1000000000000001</v>
      </c>
      <c r="H128" s="108">
        <f t="shared" si="12"/>
        <v>35.64</v>
      </c>
      <c r="I128" s="108">
        <f t="shared" si="13"/>
        <v>71.28</v>
      </c>
      <c r="J128" s="108">
        <v>2</v>
      </c>
      <c r="K128" s="117">
        <v>7047</v>
      </c>
    </row>
    <row r="129" spans="3:11" x14ac:dyDescent="0.25">
      <c r="C129" s="133" t="s">
        <v>18</v>
      </c>
      <c r="D129" s="134" t="s">
        <v>19</v>
      </c>
      <c r="E129" s="108">
        <v>0.42</v>
      </c>
      <c r="F129" s="108">
        <v>180</v>
      </c>
      <c r="G129" s="108">
        <v>1.1000000000000001</v>
      </c>
      <c r="H129" s="108">
        <f t="shared" si="12"/>
        <v>83.16</v>
      </c>
      <c r="I129" s="108">
        <f t="shared" si="13"/>
        <v>166.32</v>
      </c>
      <c r="J129" s="108">
        <v>2</v>
      </c>
      <c r="K129" s="123" t="s">
        <v>120</v>
      </c>
    </row>
    <row r="130" spans="3:11" x14ac:dyDescent="0.25">
      <c r="C130" s="133" t="s">
        <v>21</v>
      </c>
      <c r="D130" s="134" t="s">
        <v>22</v>
      </c>
      <c r="E130" s="108">
        <v>0.7</v>
      </c>
      <c r="F130" s="108">
        <v>180</v>
      </c>
      <c r="G130" s="108">
        <v>1.1000000000000001</v>
      </c>
      <c r="H130" s="108">
        <f t="shared" si="12"/>
        <v>138.6</v>
      </c>
      <c r="I130" s="108">
        <f t="shared" si="13"/>
        <v>554.4</v>
      </c>
      <c r="J130" s="108">
        <v>4</v>
      </c>
      <c r="K130" s="123" t="s">
        <v>120</v>
      </c>
    </row>
    <row r="131" spans="3:11" ht="15.75" x14ac:dyDescent="0.25">
      <c r="C131" s="134" t="s">
        <v>23</v>
      </c>
      <c r="D131" s="135" t="s">
        <v>24</v>
      </c>
      <c r="E131" s="108">
        <v>0.2</v>
      </c>
      <c r="F131" s="108">
        <v>200</v>
      </c>
      <c r="G131" s="108">
        <v>1.1000000000000001</v>
      </c>
      <c r="H131" s="108">
        <f t="shared" si="12"/>
        <v>44</v>
      </c>
      <c r="I131" s="108">
        <f t="shared" si="13"/>
        <v>264</v>
      </c>
      <c r="J131" s="108">
        <v>6</v>
      </c>
      <c r="K131" s="117">
        <v>9007</v>
      </c>
    </row>
    <row r="132" spans="3:11" x14ac:dyDescent="0.25">
      <c r="C132" s="137" t="s">
        <v>138</v>
      </c>
      <c r="D132" s="138" t="s">
        <v>139</v>
      </c>
      <c r="E132" s="108">
        <v>0.11</v>
      </c>
      <c r="F132" s="108">
        <v>200</v>
      </c>
      <c r="G132" s="108">
        <v>1.1000000000000001</v>
      </c>
      <c r="H132" s="108">
        <f t="shared" ref="H132" si="14">E132*F132*G132</f>
        <v>24.200000000000003</v>
      </c>
      <c r="I132" s="108">
        <f t="shared" ref="I132" si="15">H132*J132</f>
        <v>24.200000000000003</v>
      </c>
      <c r="J132" s="108">
        <v>1</v>
      </c>
      <c r="K132" s="117">
        <v>9007</v>
      </c>
    </row>
    <row r="133" spans="3:11" x14ac:dyDescent="0.25">
      <c r="C133" s="194"/>
      <c r="D133" s="195"/>
      <c r="E133" s="196"/>
      <c r="F133" s="196"/>
      <c r="G133" s="196"/>
      <c r="H133" s="196"/>
      <c r="I133" s="196"/>
      <c r="J133" s="196"/>
      <c r="K133" s="121"/>
    </row>
    <row r="134" spans="3:11" x14ac:dyDescent="0.25">
      <c r="C134" s="204" t="s">
        <v>160</v>
      </c>
      <c r="D134" s="161"/>
      <c r="I134" s="196"/>
      <c r="J134" s="196"/>
      <c r="K134" s="121"/>
    </row>
    <row r="135" spans="3:11" ht="45" x14ac:dyDescent="0.25">
      <c r="C135" s="153" t="s">
        <v>150</v>
      </c>
      <c r="D135" s="199" t="s">
        <v>158</v>
      </c>
      <c r="E135" s="201" t="s">
        <v>154</v>
      </c>
      <c r="F135" s="201" t="s">
        <v>155</v>
      </c>
      <c r="G135" s="153" t="s">
        <v>148</v>
      </c>
      <c r="H135" s="154" t="s">
        <v>149</v>
      </c>
    </row>
    <row r="136" spans="3:11" x14ac:dyDescent="0.25">
      <c r="C136" s="200" t="s">
        <v>152</v>
      </c>
      <c r="D136" s="199" t="s">
        <v>157</v>
      </c>
      <c r="E136" s="110">
        <v>0.59099999999999997</v>
      </c>
      <c r="F136" s="110">
        <v>0.59099999999999997</v>
      </c>
      <c r="G136" s="110">
        <v>9.1999999999999998E-2</v>
      </c>
      <c r="H136" s="110">
        <v>9.1999999999999998E-2</v>
      </c>
      <c r="K136" s="97"/>
    </row>
    <row r="137" spans="3:11" x14ac:dyDescent="0.25">
      <c r="C137" s="199" t="s">
        <v>153</v>
      </c>
      <c r="D137" s="203" t="s">
        <v>156</v>
      </c>
      <c r="E137" s="108">
        <v>4.7999999999999996E-3</v>
      </c>
      <c r="F137" s="108">
        <v>9.6000000000000002E-2</v>
      </c>
      <c r="G137" s="108">
        <v>1.0999999999999999E-2</v>
      </c>
      <c r="H137" s="108">
        <v>2.1999999999999999E-2</v>
      </c>
    </row>
    <row r="138" spans="3:11" x14ac:dyDescent="0.25">
      <c r="C138" s="202"/>
      <c r="D138" s="205"/>
      <c r="E138" s="196"/>
      <c r="F138" s="196"/>
      <c r="G138" s="196"/>
      <c r="H138" s="196"/>
      <c r="K138" s="97"/>
    </row>
    <row r="139" spans="3:11" x14ac:dyDescent="0.25">
      <c r="C139" s="204" t="s">
        <v>159</v>
      </c>
      <c r="D139" s="161"/>
      <c r="K139" s="97"/>
    </row>
    <row r="140" spans="3:11" ht="45" x14ac:dyDescent="0.25">
      <c r="C140" s="153" t="s">
        <v>150</v>
      </c>
      <c r="D140" s="199" t="s">
        <v>158</v>
      </c>
      <c r="E140" s="201" t="s">
        <v>154</v>
      </c>
      <c r="F140" s="201" t="s">
        <v>155</v>
      </c>
      <c r="G140" s="153" t="s">
        <v>148</v>
      </c>
      <c r="H140" s="154" t="s">
        <v>149</v>
      </c>
      <c r="K140" s="97"/>
    </row>
    <row r="141" spans="3:11" ht="30" x14ac:dyDescent="0.25">
      <c r="C141" s="200" t="s">
        <v>161</v>
      </c>
      <c r="D141" s="199" t="s">
        <v>162</v>
      </c>
      <c r="E141" s="108">
        <v>500</v>
      </c>
      <c r="F141" s="108">
        <v>3</v>
      </c>
      <c r="G141" s="108">
        <v>4.07</v>
      </c>
      <c r="H141" s="108">
        <f>G141*6</f>
        <v>24.42</v>
      </c>
      <c r="K141" s="97"/>
    </row>
    <row r="142" spans="3:11" x14ac:dyDescent="0.25">
      <c r="C142" s="199" t="s">
        <v>164</v>
      </c>
      <c r="D142" s="203" t="s">
        <v>163</v>
      </c>
      <c r="E142" s="108">
        <v>1.5E-3</v>
      </c>
      <c r="F142" s="108">
        <v>8.9999999999999993E-3</v>
      </c>
      <c r="G142" s="108">
        <v>0.06</v>
      </c>
      <c r="H142" s="108">
        <f>G142*6</f>
        <v>0.36</v>
      </c>
      <c r="K142" s="97"/>
    </row>
    <row r="143" spans="3:11" x14ac:dyDescent="0.25">
      <c r="C143" s="199" t="s">
        <v>165</v>
      </c>
      <c r="D143" s="203" t="s">
        <v>166</v>
      </c>
      <c r="E143" s="108">
        <v>7.0000000000000001E-3</v>
      </c>
      <c r="F143" s="108">
        <v>0.04</v>
      </c>
      <c r="G143" s="108">
        <v>0.17</v>
      </c>
      <c r="H143" s="108">
        <f>G143*6</f>
        <v>1.02</v>
      </c>
      <c r="K143" s="97"/>
    </row>
    <row r="144" spans="3:11" x14ac:dyDescent="0.25">
      <c r="C144" s="202"/>
      <c r="D144" s="205"/>
      <c r="E144" s="196"/>
      <c r="F144" s="196"/>
      <c r="G144" s="196"/>
      <c r="H144" s="196"/>
      <c r="K144" s="97"/>
    </row>
    <row r="145" spans="3:11" ht="15.75" thickBot="1" x14ac:dyDescent="0.3"/>
    <row r="146" spans="3:11" ht="15.75" thickBot="1" x14ac:dyDescent="0.3">
      <c r="C146" s="160" t="s">
        <v>142</v>
      </c>
      <c r="D146" s="197"/>
    </row>
    <row r="147" spans="3:11" x14ac:dyDescent="0.25">
      <c r="C147" s="150" t="s">
        <v>140</v>
      </c>
      <c r="D147" s="151" t="s">
        <v>141</v>
      </c>
    </row>
    <row r="148" spans="3:11" x14ac:dyDescent="0.25">
      <c r="C148" s="140">
        <v>2008</v>
      </c>
      <c r="D148" s="107">
        <f>I126</f>
        <v>423.72000000000008</v>
      </c>
    </row>
    <row r="149" spans="3:11" x14ac:dyDescent="0.25">
      <c r="C149" s="141">
        <v>5017</v>
      </c>
      <c r="D149" s="107">
        <f>I116+I117+I118</f>
        <v>530.6400000000001</v>
      </c>
    </row>
    <row r="150" spans="3:11" x14ac:dyDescent="0.25">
      <c r="C150" s="142">
        <v>8014</v>
      </c>
      <c r="D150" s="107">
        <f>I65+I86+I129+I130+I66+I87</f>
        <v>1152.3599999999999</v>
      </c>
    </row>
    <row r="151" spans="3:11" x14ac:dyDescent="0.25">
      <c r="C151" s="142">
        <v>6018</v>
      </c>
      <c r="D151" s="107">
        <f>I67+I119</f>
        <v>356.40000000000003</v>
      </c>
    </row>
    <row r="152" spans="3:11" x14ac:dyDescent="0.25">
      <c r="C152" s="142">
        <v>9007</v>
      </c>
      <c r="D152" s="107">
        <f>I69+I88+I120+I121+I122+I131+I132</f>
        <v>453.2</v>
      </c>
    </row>
    <row r="153" spans="3:11" x14ac:dyDescent="0.25">
      <c r="C153" s="142">
        <v>7047</v>
      </c>
      <c r="D153" s="107">
        <f>I68+I127+I128</f>
        <v>261.36</v>
      </c>
      <c r="K153" s="97"/>
    </row>
    <row r="154" spans="3:11" ht="15.75" thickBot="1" x14ac:dyDescent="0.3"/>
    <row r="155" spans="3:11" ht="15.75" thickBot="1" x14ac:dyDescent="0.3">
      <c r="C155" s="162" t="s">
        <v>143</v>
      </c>
      <c r="D155" s="163"/>
      <c r="E155" s="164"/>
    </row>
    <row r="156" spans="3:11" x14ac:dyDescent="0.25">
      <c r="C156" s="143" t="s">
        <v>81</v>
      </c>
      <c r="D156" s="1" t="s">
        <v>80</v>
      </c>
      <c r="E156" s="144" t="s">
        <v>79</v>
      </c>
    </row>
    <row r="157" spans="3:11" x14ac:dyDescent="0.25">
      <c r="C157" s="165" t="s">
        <v>76</v>
      </c>
      <c r="D157" s="107" t="s">
        <v>74</v>
      </c>
      <c r="E157" s="145">
        <v>42</v>
      </c>
      <c r="K157" s="97"/>
    </row>
    <row r="158" spans="3:11" x14ac:dyDescent="0.25">
      <c r="C158" s="165"/>
      <c r="D158" s="107" t="s">
        <v>73</v>
      </c>
      <c r="E158" s="145">
        <v>24</v>
      </c>
    </row>
    <row r="159" spans="3:11" x14ac:dyDescent="0.25">
      <c r="C159" s="157" t="s">
        <v>77</v>
      </c>
      <c r="D159" s="107" t="s">
        <v>71</v>
      </c>
      <c r="E159" s="145">
        <v>4</v>
      </c>
      <c r="K159" s="97"/>
    </row>
    <row r="160" spans="3:11" x14ac:dyDescent="0.25">
      <c r="C160" s="158"/>
      <c r="D160" s="107" t="s">
        <v>92</v>
      </c>
      <c r="E160" s="145">
        <f>E53+E93</f>
        <v>10</v>
      </c>
    </row>
    <row r="161" spans="3:5" x14ac:dyDescent="0.25">
      <c r="C161" s="158"/>
      <c r="D161" s="107" t="s">
        <v>78</v>
      </c>
      <c r="E161" s="145">
        <f>E38+E74+E92</f>
        <v>58</v>
      </c>
    </row>
    <row r="162" spans="3:5" x14ac:dyDescent="0.25">
      <c r="C162" s="159"/>
      <c r="D162" s="107" t="s">
        <v>98</v>
      </c>
      <c r="E162" s="145">
        <f>E54</f>
        <v>8</v>
      </c>
    </row>
    <row r="163" spans="3:5" x14ac:dyDescent="0.25">
      <c r="C163" s="156" t="s">
        <v>82</v>
      </c>
      <c r="D163" s="107" t="s">
        <v>83</v>
      </c>
      <c r="E163" s="145">
        <v>4</v>
      </c>
    </row>
    <row r="164" spans="3:5" x14ac:dyDescent="0.25">
      <c r="C164" s="156"/>
      <c r="D164" s="107" t="s">
        <v>72</v>
      </c>
      <c r="E164" s="145">
        <v>4</v>
      </c>
    </row>
    <row r="165" spans="3:5" x14ac:dyDescent="0.25">
      <c r="C165" s="156"/>
      <c r="D165" s="107" t="s">
        <v>84</v>
      </c>
      <c r="E165" s="145">
        <f>E157+E158</f>
        <v>66</v>
      </c>
    </row>
    <row r="166" spans="3:5" x14ac:dyDescent="0.25">
      <c r="C166" s="156"/>
      <c r="D166" s="107" t="s">
        <v>85</v>
      </c>
      <c r="E166" s="145">
        <f>E160+E161+E162</f>
        <v>76</v>
      </c>
    </row>
    <row r="167" spans="3:5" x14ac:dyDescent="0.25">
      <c r="C167" s="156" t="s">
        <v>87</v>
      </c>
      <c r="D167" s="107" t="s">
        <v>72</v>
      </c>
      <c r="E167" s="145">
        <v>4</v>
      </c>
    </row>
    <row r="168" spans="3:5" x14ac:dyDescent="0.25">
      <c r="C168" s="156"/>
      <c r="D168" s="107" t="s">
        <v>85</v>
      </c>
      <c r="E168" s="145">
        <f>E160+E161+E162</f>
        <v>76</v>
      </c>
    </row>
    <row r="169" spans="3:5" x14ac:dyDescent="0.25">
      <c r="C169" s="156" t="s">
        <v>94</v>
      </c>
      <c r="D169" s="107" t="s">
        <v>62</v>
      </c>
      <c r="E169" s="145">
        <f>E45+E57+E78+E96</f>
        <v>76</v>
      </c>
    </row>
    <row r="170" spans="3:5" x14ac:dyDescent="0.25">
      <c r="C170" s="156"/>
      <c r="D170" s="107" t="s">
        <v>66</v>
      </c>
      <c r="E170" s="145">
        <f>E157+E159</f>
        <v>46</v>
      </c>
    </row>
    <row r="171" spans="3:5" x14ac:dyDescent="0.25">
      <c r="C171" s="156"/>
      <c r="D171" s="107" t="s">
        <v>96</v>
      </c>
      <c r="E171" s="145">
        <v>6</v>
      </c>
    </row>
    <row r="172" spans="3:5" ht="15.75" thickBot="1" x14ac:dyDescent="0.3">
      <c r="C172" s="147" t="s">
        <v>89</v>
      </c>
      <c r="D172" s="148" t="s">
        <v>90</v>
      </c>
      <c r="E172" s="149">
        <f>E52</f>
        <v>8</v>
      </c>
    </row>
  </sheetData>
  <mergeCells count="38">
    <mergeCell ref="C49:E49"/>
    <mergeCell ref="C53:C54"/>
    <mergeCell ref="C84:E84"/>
    <mergeCell ref="C134:D134"/>
    <mergeCell ref="C98:D98"/>
    <mergeCell ref="C103:D103"/>
    <mergeCell ref="C108:D108"/>
    <mergeCell ref="C80:D80"/>
    <mergeCell ref="C33:E33"/>
    <mergeCell ref="C45:C47"/>
    <mergeCell ref="A26:K26"/>
    <mergeCell ref="A28:K28"/>
    <mergeCell ref="C37:C38"/>
    <mergeCell ref="C35:C36"/>
    <mergeCell ref="C39:C42"/>
    <mergeCell ref="C43:C44"/>
    <mergeCell ref="A12:K12"/>
    <mergeCell ref="C13:D13"/>
    <mergeCell ref="B19:K19"/>
    <mergeCell ref="A20:A22"/>
    <mergeCell ref="A24:K24"/>
    <mergeCell ref="A1:K1"/>
    <mergeCell ref="B2:K2"/>
    <mergeCell ref="B3:K3"/>
    <mergeCell ref="B5:K5"/>
    <mergeCell ref="A9:K9"/>
    <mergeCell ref="C169:C171"/>
    <mergeCell ref="C159:C162"/>
    <mergeCell ref="C146:D146"/>
    <mergeCell ref="C59:D59"/>
    <mergeCell ref="C155:E155"/>
    <mergeCell ref="C157:C158"/>
    <mergeCell ref="C163:C166"/>
    <mergeCell ref="C167:C168"/>
    <mergeCell ref="C114:E114"/>
    <mergeCell ref="C92:C93"/>
    <mergeCell ref="C63:E63"/>
    <mergeCell ref="C139:D139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45" fitToHeight="0" orientation="portrait" useFirstPageNumber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1</cp:revision>
  <cp:lastPrinted>2026-03-16T05:58:20Z</cp:lastPrinted>
  <dcterms:created xsi:type="dcterms:W3CDTF">2017-04-27T07:18:00Z</dcterms:created>
  <dcterms:modified xsi:type="dcterms:W3CDTF">2026-03-16T13:22:44Z</dcterms:modified>
</cp:coreProperties>
</file>