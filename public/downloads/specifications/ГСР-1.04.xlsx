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B32727A5-A7F7-4794-828E-C42350C9340D}" xr6:coauthVersionLast="47" xr6:coauthVersionMax="47" xr10:uidLastSave="{00000000-0000-0000-0000-000000000000}"/>
  <bookViews>
    <workbookView xWindow="3975" yWindow="3030" windowWidth="24060" windowHeight="15765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9" i="1" l="1"/>
  <c r="I69" i="1" s="1"/>
  <c r="H68" i="1"/>
  <c r="I68" i="1" s="1"/>
  <c r="H67" i="1"/>
  <c r="I67" i="1" s="1"/>
  <c r="E47" i="1" l="1"/>
  <c r="E46" i="1"/>
  <c r="E45" i="1"/>
  <c r="E44" i="1"/>
  <c r="E43" i="1"/>
  <c r="E42" i="1"/>
  <c r="E41" i="1"/>
  <c r="R34" i="1"/>
  <c r="U34" i="1"/>
  <c r="V34" i="1"/>
  <c r="T25" i="1"/>
  <c r="T14" i="1"/>
  <c r="S9" i="1"/>
  <c r="S34" i="1" s="1"/>
  <c r="T34" i="1" l="1"/>
  <c r="O27" i="1"/>
  <c r="O23" i="1"/>
  <c r="P23" i="1" s="1"/>
  <c r="Q23" i="1" s="1"/>
  <c r="K23" i="1"/>
  <c r="L23" i="1" s="1"/>
  <c r="O22" i="1"/>
  <c r="P22" i="1" s="1"/>
  <c r="Q22" i="1" s="1"/>
  <c r="L22" i="1"/>
  <c r="Q16" i="1"/>
  <c r="O16" i="1"/>
  <c r="K16" i="1"/>
  <c r="L16" i="1" s="1"/>
  <c r="Q15" i="1"/>
  <c r="O15" i="1"/>
  <c r="K15" i="1"/>
  <c r="L15" i="1" s="1"/>
  <c r="Q14" i="1"/>
  <c r="O14" i="1"/>
  <c r="K14" i="1"/>
  <c r="L14" i="1" s="1"/>
  <c r="O10" i="1" l="1"/>
  <c r="O11" i="1"/>
  <c r="O12" i="1"/>
  <c r="O13" i="1"/>
  <c r="O17" i="1"/>
  <c r="O18" i="1"/>
  <c r="O19" i="1"/>
  <c r="O20" i="1"/>
  <c r="O21" i="1"/>
  <c r="O24" i="1"/>
  <c r="O25" i="1"/>
  <c r="O26" i="1"/>
  <c r="O30" i="1"/>
  <c r="O31" i="1"/>
  <c r="O32" i="1"/>
  <c r="O33" i="1"/>
  <c r="M10" i="1"/>
  <c r="M11" i="1"/>
  <c r="M12" i="1"/>
  <c r="M13" i="1"/>
  <c r="M17" i="1"/>
  <c r="M18" i="1"/>
  <c r="M19" i="1"/>
  <c r="M20" i="1"/>
  <c r="M21" i="1"/>
  <c r="M24" i="1"/>
  <c r="M25" i="1"/>
  <c r="M26" i="1"/>
  <c r="M30" i="1"/>
  <c r="M31" i="1"/>
  <c r="M32" i="1"/>
  <c r="M33" i="1"/>
  <c r="K26" i="1"/>
  <c r="K20" i="1"/>
  <c r="P13" i="1" l="1"/>
  <c r="K8" i="1" l="1"/>
  <c r="P8" i="1" s="1"/>
  <c r="P10" i="1"/>
  <c r="P11" i="1"/>
  <c r="P12" i="1"/>
  <c r="P17" i="1"/>
  <c r="P18" i="1"/>
  <c r="P19" i="1"/>
  <c r="K25" i="1"/>
  <c r="K9" i="1"/>
  <c r="P9" i="1" s="1"/>
  <c r="P21" i="1"/>
  <c r="P24" i="1"/>
  <c r="P30" i="1"/>
  <c r="P31" i="1"/>
  <c r="P32" i="1"/>
  <c r="P33" i="1"/>
  <c r="P7" i="1"/>
  <c r="O9" i="1"/>
  <c r="M9" i="1"/>
  <c r="O34" i="1" l="1"/>
  <c r="M34" i="1"/>
  <c r="P25" i="1"/>
  <c r="P34" i="1" l="1"/>
</calcChain>
</file>

<file path=xl/sharedStrings.xml><?xml version="1.0" encoding="utf-8"?>
<sst xmlns="http://schemas.openxmlformats.org/spreadsheetml/2006/main" count="166" uniqueCount="118">
  <si>
    <t>тик</t>
  </si>
  <si>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</si>
  <si>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</si>
  <si>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</si>
  <si>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</si>
  <si>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</si>
  <si>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</si>
  <si>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</si>
  <si>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</si>
  <si>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</si>
  <si>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</si>
  <si>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СТОЛБЫ</t>
  </si>
  <si>
    <t>МЕТАЛЛ</t>
  </si>
  <si>
    <t>Уголок крепления фанеры</t>
  </si>
  <si>
    <t>ПЛАСТИК</t>
  </si>
  <si>
    <t>Заглушка пластиковая на болт М6 (черные)</t>
  </si>
  <si>
    <t>Заглушка пластиковая на болт М8-10 (черные)</t>
  </si>
  <si>
    <t>ПЛОЩАДКИ</t>
  </si>
  <si>
    <t>ПАНЕЛИ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</si>
  <si>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</si>
  <si>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</si>
  <si>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</si>
  <si>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</si>
  <si>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</si>
  <si>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Черный</t>
  </si>
  <si>
    <t>разноцветные</t>
  </si>
  <si>
    <t>ЛЕСТНИЦА 900</t>
  </si>
  <si>
    <t xml:space="preserve">Шуруп (глухарь) 8х80 - 4 шт.                         Шайба м8 увел. - 4шт.                         </t>
  </si>
  <si>
    <t>противоскользящая</t>
  </si>
  <si>
    <t>Саморез по дереву 3.5х35 - 5 шт.</t>
  </si>
  <si>
    <t>Подступенок (доска 35х90х558)</t>
  </si>
  <si>
    <t xml:space="preserve">Шуруп (глухарь) 8х50 - 2 шт.                         Шайба м8 увел. - 2шт.                         </t>
  </si>
  <si>
    <t>Перемычка 600 мм (серый)</t>
  </si>
  <si>
    <t>11.004.000     Горка 600х1700 H=900</t>
  </si>
  <si>
    <t>Горка 600х1700 H=900</t>
  </si>
  <si>
    <t xml:space="preserve">Шуруп (глухарь) 8х80 - 1 шт.                        Болт мебельный М6х45 - 1 шт.                               Шайба м8 увел. - 2 шт.                    Гайка м6 - 1 шт                            </t>
  </si>
  <si>
    <t>Кольцо счеты (110х110х21 мм)</t>
  </si>
  <si>
    <t>0004ДБ</t>
  </si>
  <si>
    <t>0008ДБ</t>
  </si>
  <si>
    <t>Закладная для столба 100х100</t>
  </si>
  <si>
    <t>0013МП</t>
  </si>
  <si>
    <t>0003МП</t>
  </si>
  <si>
    <t>Ступень 600х150
600 x 150 x 18</t>
  </si>
  <si>
    <t>000023</t>
  </si>
  <si>
    <t>0006ДБ</t>
  </si>
  <si>
    <t>000041</t>
  </si>
  <si>
    <t>0006СБ</t>
  </si>
  <si>
    <t>0020МП</t>
  </si>
  <si>
    <t>0058МП</t>
  </si>
  <si>
    <t>Труба 21x600мм (под счеты)</t>
  </si>
  <si>
    <t>Поручень горки дуга (570mm)</t>
  </si>
  <si>
    <t>0084МП</t>
  </si>
  <si>
    <t>КЧМ6КС</t>
  </si>
  <si>
    <t>КЧМ8КС</t>
  </si>
  <si>
    <t>100-100.11КК</t>
  </si>
  <si>
    <t>Заглушка 100-100.11КК</t>
  </si>
  <si>
    <t>ГСР-1.04</t>
  </si>
  <si>
    <t>Размер 2,00 х 1,40 х 1,20 м</t>
  </si>
  <si>
    <t>Площадка двойная 800х800 (СБ)</t>
  </si>
  <si>
    <t>Столб (брус 100х100)  400мм</t>
  </si>
  <si>
    <t>Столб (брус 100х100)  1700 мм</t>
  </si>
  <si>
    <t>0003СБ</t>
  </si>
  <si>
    <t>Боковина горки 1.04
1421 x 806 x 21</t>
  </si>
  <si>
    <t>000254</t>
  </si>
  <si>
    <t>6</t>
  </si>
  <si>
    <t>7</t>
  </si>
  <si>
    <t>8</t>
  </si>
  <si>
    <t xml:space="preserve">Штурвал 6.10
401 x 458 x 21  </t>
  </si>
  <si>
    <t>000230</t>
  </si>
  <si>
    <t xml:space="preserve">Держатель счет одинарный 5.17
164 x 250 x 21 </t>
  </si>
  <si>
    <t>0000812</t>
  </si>
  <si>
    <t>7015/2008</t>
  </si>
  <si>
    <t>Вращательный элемент руля</t>
  </si>
  <si>
    <t>Уголок 55х55х40</t>
  </si>
  <si>
    <t>Меб. Болт М10х160</t>
  </si>
  <si>
    <t>Гл. М8х60</t>
  </si>
  <si>
    <t>Гл. М8х80</t>
  </si>
  <si>
    <t>Меб. М6х40</t>
  </si>
  <si>
    <t>Меб. М6х75</t>
  </si>
  <si>
    <t>Меб. Болт</t>
  </si>
  <si>
    <t>М10х160</t>
  </si>
  <si>
    <t>М6х40</t>
  </si>
  <si>
    <t>М6х75</t>
  </si>
  <si>
    <t>Глухарь</t>
  </si>
  <si>
    <t>М8х60</t>
  </si>
  <si>
    <t>М8х80</t>
  </si>
  <si>
    <t>Загушка</t>
  </si>
  <si>
    <t>уголок</t>
  </si>
  <si>
    <t>90гр</t>
  </si>
  <si>
    <t>Шайба</t>
  </si>
  <si>
    <t>М10</t>
  </si>
  <si>
    <t>М8</t>
  </si>
  <si>
    <t>М6</t>
  </si>
  <si>
    <t>Гайка</t>
  </si>
  <si>
    <t>шт.</t>
  </si>
  <si>
    <t>Метизы</t>
  </si>
  <si>
    <t>лестница 900</t>
  </si>
  <si>
    <t>эл. Крепежа.</t>
  </si>
  <si>
    <t>размер</t>
  </si>
  <si>
    <t>55х55х40 90гр.</t>
  </si>
  <si>
    <t>Заглушка</t>
  </si>
  <si>
    <t>Расход металла:</t>
  </si>
  <si>
    <t>деталь</t>
  </si>
  <si>
    <t>площадь м2</t>
  </si>
  <si>
    <t>площадь на комплект м2</t>
  </si>
  <si>
    <t>масса 1шт.</t>
  </si>
  <si>
    <t>Масса комплект  кг</t>
  </si>
  <si>
    <t>110х40</t>
  </si>
  <si>
    <t>покраска</t>
  </si>
  <si>
    <t>артикул</t>
  </si>
  <si>
    <t>наименование детали</t>
  </si>
  <si>
    <t>площ. Пов.</t>
  </si>
  <si>
    <t>1 слой г/м2</t>
  </si>
  <si>
    <t>коэффицент</t>
  </si>
  <si>
    <t>1 шт. гр.</t>
  </si>
  <si>
    <t>комплект гр.</t>
  </si>
  <si>
    <t>Уголок крепления фанеры 55х55х40</t>
  </si>
  <si>
    <t>9007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</si>
</sst>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-* #,##0.0000\ _₽_-;\-* #,##0.0000\ _₽_-;_-* &quot;-&quot;??\ _₽_-;_-@_-"/>
  </numFmts>
  <fonts count="18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2"/>
      <color theme="0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15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/>
    <xf numFmtId="0" fontId="4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/>
    <xf numFmtId="164" fontId="4" fillId="0" borderId="14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4" fillId="0" borderId="20" xfId="0" applyFont="1" applyBorder="1"/>
    <xf numFmtId="0" fontId="0" fillId="3" borderId="1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/>
    <xf numFmtId="0" fontId="4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164" fontId="9" fillId="0" borderId="21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textRotation="90" wrapText="1"/>
    </xf>
    <xf numFmtId="164" fontId="4" fillId="0" borderId="2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49" fontId="10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49" fontId="10" fillId="0" borderId="3" xfId="0" applyNumberFormat="1" applyFont="1" applyBorder="1" applyAlignment="1">
      <alignment horizontal="center" vertical="center" wrapText="1"/>
    </xf>
    <xf numFmtId="0" fontId="4" fillId="0" borderId="22" xfId="0" applyFont="1" applyBorder="1"/>
    <xf numFmtId="0" fontId="10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 indent="1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 inden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7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center" vertical="center" wrapText="1"/>
    </xf>
    <xf numFmtId="0" fontId="11" fillId="0" borderId="12" xfId="0" applyFont="1" applyBorder="1"/>
    <xf numFmtId="49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 indent="1"/>
    </xf>
    <xf numFmtId="164" fontId="12" fillId="0" borderId="21" xfId="0" applyNumberFormat="1" applyFont="1" applyBorder="1" applyAlignment="1">
      <alignment horizontal="center" vertical="center" wrapText="1"/>
    </xf>
    <xf numFmtId="164" fontId="12" fillId="0" borderId="25" xfId="0" applyNumberFormat="1" applyFont="1" applyBorder="1" applyAlignment="1">
      <alignment horizontal="center" vertical="center" wrapText="1"/>
    </xf>
    <xf numFmtId="164" fontId="11" fillId="0" borderId="25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7" xfId="0" applyFont="1" applyBorder="1"/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 indent="1"/>
    </xf>
    <xf numFmtId="0" fontId="15" fillId="7" borderId="1" xfId="0" applyFont="1" applyFill="1" applyBorder="1" applyAlignment="1">
      <alignment horizontal="center" vertical="center" wrapText="1"/>
    </xf>
    <xf numFmtId="164" fontId="12" fillId="0" borderId="8" xfId="0" applyNumberFormat="1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textRotation="90" wrapText="1"/>
    </xf>
    <xf numFmtId="0" fontId="12" fillId="0" borderId="3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4" fillId="0" borderId="29" xfId="0" applyFont="1" applyBorder="1"/>
    <xf numFmtId="0" fontId="1" fillId="0" borderId="26" xfId="0" applyFont="1" applyBorder="1" applyAlignment="1">
      <alignment horizontal="center" vertical="center" wrapText="1"/>
    </xf>
    <xf numFmtId="0" fontId="0" fillId="0" borderId="26" xfId="0" applyBorder="1"/>
    <xf numFmtId="0" fontId="1" fillId="0" borderId="3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left" indent="1"/>
    </xf>
    <xf numFmtId="0" fontId="0" fillId="0" borderId="5" xfId="0" applyBorder="1" applyAlignment="1">
      <alignment horizontal="center" vertical="center"/>
    </xf>
    <xf numFmtId="0" fontId="0" fillId="0" borderId="31" xfId="0" applyBorder="1"/>
    <xf numFmtId="0" fontId="0" fillId="0" borderId="8" xfId="0" applyBorder="1"/>
    <xf numFmtId="0" fontId="2" fillId="0" borderId="6" xfId="0" applyFont="1" applyBorder="1" applyAlignment="1">
      <alignment horizontal="left" indent="1"/>
    </xf>
    <xf numFmtId="0" fontId="0" fillId="0" borderId="6" xfId="0" applyBorder="1" applyAlignment="1">
      <alignment horizontal="center" vertical="center"/>
    </xf>
    <xf numFmtId="0" fontId="0" fillId="0" borderId="10" xfId="0" applyBorder="1"/>
    <xf numFmtId="0" fontId="0" fillId="0" borderId="15" xfId="0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wrapText="1"/>
    </xf>
    <xf numFmtId="0" fontId="1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5" fontId="0" fillId="0" borderId="19" xfId="1" applyNumberFormat="1" applyFont="1" applyBorder="1"/>
    <xf numFmtId="0" fontId="17" fillId="0" borderId="1" xfId="0" applyFont="1" applyBorder="1"/>
    <xf numFmtId="165" fontId="0" fillId="0" borderId="8" xfId="1" applyNumberFormat="1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49" fontId="0" fillId="0" borderId="8" xfId="1" applyNumberFormat="1" applyFont="1" applyBorder="1" applyAlignment="1">
      <alignment horizontal="center" vertical="center"/>
    </xf>
    <xf numFmtId="49" fontId="17" fillId="0" borderId="9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49" fontId="17" fillId="0" borderId="10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49" fontId="5" fillId="4" borderId="15" xfId="0" applyNumberFormat="1" applyFont="1" applyFill="1" applyBorder="1" applyAlignment="1">
      <alignment horizontal="center" vertical="center"/>
    </xf>
    <xf numFmtId="49" fontId="5" fillId="4" borderId="27" xfId="0" applyNumberFormat="1" applyFont="1" applyFill="1" applyBorder="1" applyAlignment="1">
      <alignment horizontal="center" vertical="center"/>
    </xf>
    <xf numFmtId="49" fontId="5" fillId="4" borderId="28" xfId="0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emf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24</xdr:row>
      <xdr:rowOff>0</xdr:rowOff>
    </xdr:from>
    <xdr:to>
      <xdr:col>5</xdr:col>
      <xdr:colOff>1681025</xdr:colOff>
      <xdr:row>24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 rot="16200000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152399</xdr:colOff>
      <xdr:row>24</xdr:row>
      <xdr:rowOff>57149</xdr:rowOff>
    </xdr:from>
    <xdr:to>
      <xdr:col>5</xdr:col>
      <xdr:colOff>1590888</xdr:colOff>
      <xdr:row>24</xdr:row>
      <xdr:rowOff>866774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542" t="30565" r="65729" b="29900"/>
        <a:stretch>
          <a:fillRect/>
        </a:stretch>
      </xdr:blipFill>
      <xdr:spPr bwMode="auto">
        <a:xfrm>
          <a:off x="5429249" y="1866899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32</xdr:row>
      <xdr:rowOff>79562</xdr:rowOff>
    </xdr:from>
    <xdr:to>
      <xdr:col>5</xdr:col>
      <xdr:colOff>1332940</xdr:colOff>
      <xdr:row>32</xdr:row>
      <xdr:rowOff>774887</xdr:rowOff>
    </xdr:to>
    <xdr:pic>
      <xdr:nvPicPr>
        <xdr:cNvPr id="35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grayscl/>
        </a:blip>
        <a:srcRect t="8989" b="8989"/>
        <a:stretch>
          <a:fillRect/>
        </a:stretch>
      </xdr:blipFill>
      <xdr:spPr bwMode="auto">
        <a:xfrm>
          <a:off x="5647766" y="41294797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571500</xdr:colOff>
      <xdr:row>30</xdr:row>
      <xdr:rowOff>89647</xdr:rowOff>
    </xdr:from>
    <xdr:to>
      <xdr:col>5</xdr:col>
      <xdr:colOff>1171163</xdr:colOff>
      <xdr:row>30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31</xdr:row>
      <xdr:rowOff>45945</xdr:rowOff>
    </xdr:from>
    <xdr:to>
      <xdr:col>5</xdr:col>
      <xdr:colOff>1314720</xdr:colOff>
      <xdr:row>32</xdr:row>
      <xdr:rowOff>7287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136074</xdr:colOff>
      <xdr:row>8</xdr:row>
      <xdr:rowOff>176891</xdr:rowOff>
    </xdr:from>
    <xdr:to>
      <xdr:col>5</xdr:col>
      <xdr:colOff>1553724</xdr:colOff>
      <xdr:row>8</xdr:row>
      <xdr:rowOff>680356</xdr:rowOff>
    </xdr:to>
    <xdr:pic>
      <xdr:nvPicPr>
        <xdr:cNvPr id="72" name="Picture 1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-2703" b="47582"/>
        <a:stretch>
          <a:fillRect/>
        </a:stretch>
      </xdr:blipFill>
      <xdr:spPr bwMode="auto">
        <a:xfrm rot="16200000">
          <a:off x="5736666" y="2441228"/>
          <a:ext cx="503465" cy="141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649941</xdr:colOff>
      <xdr:row>19</xdr:row>
      <xdr:rowOff>89647</xdr:rowOff>
    </xdr:from>
    <xdr:to>
      <xdr:col>5</xdr:col>
      <xdr:colOff>1077418</xdr:colOff>
      <xdr:row>19</xdr:row>
      <xdr:rowOff>500025</xdr:rowOff>
    </xdr:to>
    <xdr:pic>
      <xdr:nvPicPr>
        <xdr:cNvPr id="54" name="Picture 9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 bwMode="auto">
        <a:xfrm>
          <a:off x="5983941" y="260912722"/>
          <a:ext cx="427477" cy="410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291353</xdr:colOff>
      <xdr:row>25</xdr:row>
      <xdr:rowOff>201706</xdr:rowOff>
    </xdr:from>
    <xdr:to>
      <xdr:col>5</xdr:col>
      <xdr:colOff>1333499</xdr:colOff>
      <xdr:row>25</xdr:row>
      <xdr:rowOff>268942</xdr:rowOff>
    </xdr:to>
    <xdr:sp macro="" textlink="">
      <xdr:nvSpPr>
        <xdr:cNvPr id="57" name="Прямоугольник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5768228" y="21918706"/>
          <a:ext cx="1042146" cy="67236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 editAs="oneCell">
    <xdr:from>
      <xdr:col>5</xdr:col>
      <xdr:colOff>54428</xdr:colOff>
      <xdr:row>14</xdr:row>
      <xdr:rowOff>95250</xdr:rowOff>
    </xdr:from>
    <xdr:to>
      <xdr:col>5</xdr:col>
      <xdr:colOff>1401536</xdr:colOff>
      <xdr:row>15</xdr:row>
      <xdr:rowOff>17749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15A8CF5A-AB66-4BA6-BE5A-1A0E7EE86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392" y="13811250"/>
          <a:ext cx="1347108" cy="507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173182</xdr:colOff>
      <xdr:row>22</xdr:row>
      <xdr:rowOff>212767</xdr:rowOff>
    </xdr:from>
    <xdr:to>
      <xdr:col>5</xdr:col>
      <xdr:colOff>1484750</xdr:colOff>
      <xdr:row>22</xdr:row>
      <xdr:rowOff>1578429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BDDD3B68-A7F8-493F-AFD2-F0DF73E8E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 bwMode="auto">
        <a:xfrm>
          <a:off x="5058146" y="30243731"/>
          <a:ext cx="1311568" cy="1365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312965</xdr:colOff>
      <xdr:row>26</xdr:row>
      <xdr:rowOff>149679</xdr:rowOff>
    </xdr:from>
    <xdr:to>
      <xdr:col>5</xdr:col>
      <xdr:colOff>1522640</xdr:colOff>
      <xdr:row>26</xdr:row>
      <xdr:rowOff>1292679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4062447C-29D4-4119-8B99-86DBAB762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29" y="36018108"/>
          <a:ext cx="120967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1346271</xdr:colOff>
      <xdr:row>2</xdr:row>
      <xdr:rowOff>204107</xdr:rowOff>
    </xdr:from>
    <xdr:to>
      <xdr:col>10</xdr:col>
      <xdr:colOff>631373</xdr:colOff>
      <xdr:row>3</xdr:row>
      <xdr:rowOff>353786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4260B6C6-E4E1-4220-BF41-8809DD18C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1235" y="721178"/>
          <a:ext cx="4156459" cy="3755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81643</xdr:colOff>
      <xdr:row>2</xdr:row>
      <xdr:rowOff>149679</xdr:rowOff>
    </xdr:from>
    <xdr:to>
      <xdr:col>5</xdr:col>
      <xdr:colOff>1691368</xdr:colOff>
      <xdr:row>2</xdr:row>
      <xdr:rowOff>3514725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8F397C36-4B49-4044-9603-5B2233DF6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3" y="666750"/>
          <a:ext cx="6494689" cy="3365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367393</xdr:colOff>
      <xdr:row>3</xdr:row>
      <xdr:rowOff>326572</xdr:rowOff>
    </xdr:from>
    <xdr:to>
      <xdr:col>3</xdr:col>
      <xdr:colOff>2405743</xdr:colOff>
      <xdr:row>3</xdr:row>
      <xdr:rowOff>2967718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F5187563-41FE-4F64-AC26-1172173E2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393" y="4449536"/>
          <a:ext cx="3712029" cy="2641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190500</xdr:colOff>
      <xdr:row>10</xdr:row>
      <xdr:rowOff>258535</xdr:rowOff>
    </xdr:from>
    <xdr:to>
      <xdr:col>5</xdr:col>
      <xdr:colOff>1466849</xdr:colOff>
      <xdr:row>10</xdr:row>
      <xdr:rowOff>1013251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163C8471-8780-4644-88D9-F61A4245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tretch/>
      </xdr:blipFill>
      <xdr:spPr bwMode="auto">
        <a:xfrm>
          <a:off x="5075464" y="10355035"/>
          <a:ext cx="1276349" cy="75471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13</xdr:row>
      <xdr:rowOff>304800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91D97C77-48B4-48FB-B211-C0DB4F8220CE}"/>
            </a:ext>
          </a:extLst>
        </xdr:cNvPr>
        <xdr:cNvSpPr>
          <a:spLocks noChangeAspect="1" noChangeArrowheads="1"/>
        </xdr:cNvSpPr>
      </xdr:nvSpPr>
      <xdr:spPr bwMode="auto">
        <a:xfrm>
          <a:off x="4886325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16</xdr:row>
      <xdr:rowOff>0</xdr:rowOff>
    </xdr:from>
    <xdr:to>
      <xdr:col>24</xdr:col>
      <xdr:colOff>304800</xdr:colOff>
      <xdr:row>17</xdr:row>
      <xdr:rowOff>19050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640D356C-B156-4D7D-9CA9-34D6A65AA61C}"/>
            </a:ext>
          </a:extLst>
        </xdr:cNvPr>
        <xdr:cNvSpPr>
          <a:spLocks noChangeAspect="1" noChangeArrowheads="1"/>
        </xdr:cNvSpPr>
      </xdr:nvSpPr>
      <xdr:spPr bwMode="auto">
        <a:xfrm>
          <a:off x="1872615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285750</xdr:colOff>
      <xdr:row>13</xdr:row>
      <xdr:rowOff>122464</xdr:rowOff>
    </xdr:from>
    <xdr:to>
      <xdr:col>5</xdr:col>
      <xdr:colOff>1314450</xdr:colOff>
      <xdr:row>13</xdr:row>
      <xdr:rowOff>1265464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D18F459C-F418-433F-9043-54727A95B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0714" y="12015107"/>
          <a:ext cx="10287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299357</xdr:colOff>
      <xdr:row>17</xdr:row>
      <xdr:rowOff>54429</xdr:rowOff>
    </xdr:from>
    <xdr:to>
      <xdr:col>5</xdr:col>
      <xdr:colOff>1470932</xdr:colOff>
      <xdr:row>17</xdr:row>
      <xdr:rowOff>1197429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1F0C0CA2-677C-48DA-AD54-FB48DED06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4321" y="14505215"/>
          <a:ext cx="117157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476250</xdr:colOff>
      <xdr:row>18</xdr:row>
      <xdr:rowOff>0</xdr:rowOff>
    </xdr:from>
    <xdr:to>
      <xdr:col>5</xdr:col>
      <xdr:colOff>1292679</xdr:colOff>
      <xdr:row>18</xdr:row>
      <xdr:rowOff>878911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2B15AFF3-C53E-484A-BEC7-436237E9B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1214" y="15770678"/>
          <a:ext cx="816429" cy="878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517072</xdr:colOff>
      <xdr:row>18</xdr:row>
      <xdr:rowOff>13608</xdr:rowOff>
    </xdr:from>
    <xdr:to>
      <xdr:col>5</xdr:col>
      <xdr:colOff>1362046</xdr:colOff>
      <xdr:row>18</xdr:row>
      <xdr:rowOff>870858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A015D981-01A3-4411-9A42-880B99CDF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2036" y="16804822"/>
          <a:ext cx="844974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163285</xdr:colOff>
      <xdr:row>27</xdr:row>
      <xdr:rowOff>204110</xdr:rowOff>
    </xdr:from>
    <xdr:to>
      <xdr:col>5</xdr:col>
      <xdr:colOff>1563276</xdr:colOff>
      <xdr:row>27</xdr:row>
      <xdr:rowOff>1265466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C217928A-0301-4B2B-96D8-C4226C4FF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9" y="23390681"/>
          <a:ext cx="1399991" cy="1061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"/>
  <sheetViews>
    <sheetView tabSelected="1" topLeftCell="B40" zoomScale="90" zoomScaleNormal="90" workbookViewId="0">
      <selection activeCell="G67" sqref="G67"/>
    </sheetView>
  </sheetViews>
  <sheetFormatPr defaultRowHeight="15" x14ac:dyDescent="0.25"/>
  <cols>
    <col min="1" max="1" width="6.28515625" hidden="1" customWidth="1"/>
    <col min="2" max="2" width="7.7109375" style="3" customWidth="1"/>
    <col min="3" max="3" width="17.28515625" customWidth="1"/>
    <col min="4" max="4" width="36.5703125" style="4" customWidth="1"/>
    <col min="5" max="5" width="11.7109375" style="6" customWidth="1"/>
    <col min="6" max="6" width="26.7109375" customWidth="1"/>
    <col min="7" max="7" width="12.85546875" customWidth="1"/>
    <col min="8" max="8" width="10.140625" customWidth="1"/>
    <col min="9" max="10" width="11.7109375" customWidth="1"/>
    <col min="11" max="11" width="10.85546875" customWidth="1"/>
    <col min="12" max="12" width="12.28515625" customWidth="1"/>
    <col min="13" max="13" width="6.5703125" customWidth="1"/>
    <col min="14" max="14" width="14.140625" customWidth="1"/>
    <col min="15" max="15" width="7.28515625" customWidth="1"/>
    <col min="16" max="16" width="10.140625" customWidth="1"/>
    <col min="18" max="18" width="18.140625" customWidth="1"/>
    <col min="21" max="21" width="13" customWidth="1"/>
    <col min="22" max="22" width="14.7109375" customWidth="1"/>
  </cols>
  <sheetData>
    <row r="1" spans="1:22" ht="21" x14ac:dyDescent="0.25">
      <c r="A1" s="145" t="s">
        <v>56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22" ht="18.75" customHeight="1" thickBot="1" x14ac:dyDescent="0.3">
      <c r="A2" s="18"/>
      <c r="B2" s="150" t="s">
        <v>57</v>
      </c>
      <c r="C2" s="150"/>
      <c r="D2" s="150"/>
      <c r="E2" s="150"/>
      <c r="F2" s="150"/>
      <c r="G2" s="150"/>
      <c r="H2" s="150"/>
      <c r="I2" s="150"/>
      <c r="J2" s="150"/>
      <c r="K2" s="150"/>
    </row>
    <row r="3" spans="1:22" ht="284.25" customHeight="1" x14ac:dyDescent="0.25">
      <c r="A3" s="2"/>
      <c r="B3" s="147"/>
      <c r="C3" s="148"/>
      <c r="D3" s="148"/>
      <c r="E3" s="148"/>
      <c r="F3" s="148"/>
      <c r="G3" s="148"/>
      <c r="H3" s="148"/>
      <c r="I3" s="148"/>
      <c r="J3" s="148"/>
      <c r="K3" s="149"/>
    </row>
    <row r="4" spans="1:22" ht="263.25" customHeight="1" thickBot="1" x14ac:dyDescent="0.3">
      <c r="A4" s="2"/>
      <c r="B4" s="147"/>
      <c r="C4" s="148"/>
      <c r="D4" s="148"/>
      <c r="E4" s="148"/>
      <c r="F4" s="148"/>
      <c r="G4" s="148"/>
      <c r="H4" s="148"/>
      <c r="I4" s="148"/>
      <c r="J4" s="148"/>
      <c r="K4" s="149"/>
    </row>
    <row r="5" spans="1:22" ht="69" customHeight="1" thickBot="1" x14ac:dyDescent="0.3">
      <c r="A5" s="49"/>
      <c r="B5" s="53" t="s">
        <v>1</v>
      </c>
      <c r="C5" s="53" t="s">
        <v>3</v>
      </c>
      <c r="D5" s="54" t="s">
        <v>2</v>
      </c>
      <c r="E5" s="53" t="s">
        <v>10</v>
      </c>
      <c r="F5" s="53" t="s">
        <v>4</v>
      </c>
      <c r="G5" s="53" t="s">
        <v>5</v>
      </c>
      <c r="H5" s="55" t="s">
        <v>6</v>
      </c>
      <c r="I5" s="55" t="s">
        <v>7</v>
      </c>
      <c r="J5" s="55" t="s">
        <v>8</v>
      </c>
      <c r="K5" s="56" t="s">
        <v>9</v>
      </c>
      <c r="L5" s="29" t="s">
        <v>19</v>
      </c>
      <c r="M5" s="10" t="s">
        <v>20</v>
      </c>
      <c r="N5" s="7" t="s">
        <v>21</v>
      </c>
      <c r="O5" s="10" t="s">
        <v>22</v>
      </c>
      <c r="P5" s="46" t="s">
        <v>23</v>
      </c>
      <c r="R5" t="s">
        <v>74</v>
      </c>
      <c r="S5" t="s">
        <v>75</v>
      </c>
      <c r="T5" t="s">
        <v>76</v>
      </c>
      <c r="U5" s="47" t="s">
        <v>77</v>
      </c>
      <c r="V5" s="47" t="s">
        <v>78</v>
      </c>
    </row>
    <row r="6" spans="1:22" ht="15.75" thickBot="1" x14ac:dyDescent="0.3">
      <c r="A6" s="19"/>
      <c r="B6" s="136" t="s">
        <v>11</v>
      </c>
      <c r="C6" s="137"/>
      <c r="D6" s="137"/>
      <c r="E6" s="137"/>
      <c r="F6" s="137"/>
      <c r="G6" s="137"/>
      <c r="H6" s="137"/>
      <c r="I6" s="137"/>
      <c r="J6" s="137"/>
      <c r="K6" s="138"/>
      <c r="L6" s="26"/>
      <c r="M6" s="13"/>
      <c r="N6" s="13"/>
      <c r="O6" s="13"/>
      <c r="P6" s="47"/>
      <c r="U6" s="47"/>
    </row>
    <row r="7" spans="1:22" s="1" customFormat="1" ht="18.75" customHeight="1" x14ac:dyDescent="0.2">
      <c r="A7" s="34"/>
      <c r="B7" s="40">
        <v>1</v>
      </c>
      <c r="C7" s="48" t="s">
        <v>37</v>
      </c>
      <c r="D7" s="52" t="s">
        <v>59</v>
      </c>
      <c r="E7" s="40">
        <v>2</v>
      </c>
      <c r="F7" s="40"/>
      <c r="G7" s="40" t="s">
        <v>0</v>
      </c>
      <c r="H7" s="40">
        <v>1</v>
      </c>
      <c r="I7" s="40"/>
      <c r="J7" s="40"/>
      <c r="K7" s="35">
        <v>8.0999999999999996E-3</v>
      </c>
      <c r="L7" s="26"/>
      <c r="M7" s="13"/>
      <c r="N7" s="13"/>
      <c r="O7" s="13"/>
      <c r="P7" s="43">
        <f>K7*E7</f>
        <v>1.6199999999999999E-2</v>
      </c>
      <c r="U7" s="27"/>
    </row>
    <row r="8" spans="1:22" s="1" customFormat="1" ht="18.75" customHeight="1" x14ac:dyDescent="0.2">
      <c r="A8" s="34"/>
      <c r="B8" s="7">
        <v>2</v>
      </c>
      <c r="C8" s="39" t="s">
        <v>38</v>
      </c>
      <c r="D8" s="38" t="s">
        <v>60</v>
      </c>
      <c r="E8" s="7">
        <v>4</v>
      </c>
      <c r="F8" s="7"/>
      <c r="G8" s="7" t="s">
        <v>0</v>
      </c>
      <c r="H8" s="7">
        <v>1.5</v>
      </c>
      <c r="I8" s="7"/>
      <c r="J8" s="7"/>
      <c r="K8" s="37">
        <f t="shared" ref="K8" si="0">H8*I8*J8</f>
        <v>0</v>
      </c>
      <c r="L8" s="26"/>
      <c r="M8" s="13"/>
      <c r="N8" s="13"/>
      <c r="O8" s="13"/>
      <c r="P8" s="44">
        <f t="shared" ref="P8" si="1">K8*E8</f>
        <v>0</v>
      </c>
      <c r="U8" s="27"/>
    </row>
    <row r="9" spans="1:22" s="1" customFormat="1" ht="63.75" customHeight="1" thickBot="1" x14ac:dyDescent="0.3">
      <c r="A9" s="34"/>
      <c r="B9" s="42">
        <v>3</v>
      </c>
      <c r="C9" s="106" t="s">
        <v>40</v>
      </c>
      <c r="D9" s="8" t="s">
        <v>39</v>
      </c>
      <c r="E9" s="42">
        <v>6</v>
      </c>
      <c r="F9" s="42"/>
      <c r="G9" s="11">
        <v>7047</v>
      </c>
      <c r="H9" s="42"/>
      <c r="I9" s="42"/>
      <c r="J9" s="42"/>
      <c r="K9" s="17">
        <f>H9*I9*J9</f>
        <v>0</v>
      </c>
      <c r="L9" s="29">
        <v>3</v>
      </c>
      <c r="M9" s="7">
        <f>L9*E9</f>
        <v>18</v>
      </c>
      <c r="N9" s="7"/>
      <c r="O9" s="7">
        <f>N9*E9</f>
        <v>0</v>
      </c>
      <c r="P9" s="43">
        <f t="shared" ref="P9:P19" si="2">K9*E9</f>
        <v>0</v>
      </c>
      <c r="S9" s="1">
        <f>E9*3</f>
        <v>18</v>
      </c>
      <c r="U9" s="27"/>
    </row>
    <row r="10" spans="1:22" ht="19.5" customHeight="1" thickBot="1" x14ac:dyDescent="0.3">
      <c r="A10" s="19"/>
      <c r="B10" s="136" t="s">
        <v>17</v>
      </c>
      <c r="C10" s="137"/>
      <c r="D10" s="137"/>
      <c r="E10" s="137"/>
      <c r="F10" s="137"/>
      <c r="G10" s="137"/>
      <c r="H10" s="137"/>
      <c r="I10" s="137"/>
      <c r="J10" s="137"/>
      <c r="K10" s="138"/>
      <c r="L10" s="26"/>
      <c r="M10" s="7">
        <f t="shared" ref="M10:M33" si="3">L10*E10</f>
        <v>0</v>
      </c>
      <c r="N10" s="13"/>
      <c r="O10" s="7">
        <f t="shared" ref="O10:O33" si="4">N10*E10</f>
        <v>0</v>
      </c>
      <c r="P10" s="43">
        <f t="shared" si="2"/>
        <v>0</v>
      </c>
      <c r="U10" s="47"/>
    </row>
    <row r="11" spans="1:22" s="1" customFormat="1" ht="93.75" customHeight="1" x14ac:dyDescent="0.25">
      <c r="A11" s="34"/>
      <c r="B11" s="40">
        <v>4</v>
      </c>
      <c r="C11" s="58" t="s">
        <v>61</v>
      </c>
      <c r="D11" s="59" t="s">
        <v>58</v>
      </c>
      <c r="E11" s="60">
        <v>1</v>
      </c>
      <c r="F11" s="58"/>
      <c r="G11" s="40"/>
      <c r="H11" s="32">
        <v>1.5</v>
      </c>
      <c r="I11" s="32">
        <v>0.8</v>
      </c>
      <c r="J11" s="32">
        <v>0.08</v>
      </c>
      <c r="K11" s="33">
        <v>0.1208</v>
      </c>
      <c r="L11" s="29"/>
      <c r="M11" s="7">
        <f t="shared" si="3"/>
        <v>0</v>
      </c>
      <c r="N11" s="7"/>
      <c r="O11" s="7">
        <f t="shared" si="4"/>
        <v>0</v>
      </c>
      <c r="P11" s="43">
        <f t="shared" si="2"/>
        <v>0.1208</v>
      </c>
      <c r="R11" s="1">
        <v>4</v>
      </c>
      <c r="U11" s="27"/>
    </row>
    <row r="12" spans="1:22" s="1" customFormat="1" ht="27.75" customHeight="1" thickBot="1" x14ac:dyDescent="0.25">
      <c r="A12" s="57"/>
      <c r="B12" s="42">
        <v>5</v>
      </c>
      <c r="C12" s="42" t="s">
        <v>41</v>
      </c>
      <c r="D12" s="8" t="s">
        <v>13</v>
      </c>
      <c r="E12" s="42">
        <v>4</v>
      </c>
      <c r="F12" s="42"/>
      <c r="G12" s="11">
        <v>7047</v>
      </c>
      <c r="H12" s="42"/>
      <c r="I12" s="42"/>
      <c r="J12" s="42"/>
      <c r="K12" s="17"/>
      <c r="L12" s="29"/>
      <c r="M12" s="7">
        <f t="shared" si="3"/>
        <v>0</v>
      </c>
      <c r="N12" s="7"/>
      <c r="O12" s="7">
        <f t="shared" si="4"/>
        <v>0</v>
      </c>
      <c r="P12" s="43">
        <f t="shared" si="2"/>
        <v>0</v>
      </c>
      <c r="U12" s="27"/>
    </row>
    <row r="13" spans="1:22" ht="19.5" customHeight="1" thickBot="1" x14ac:dyDescent="0.3">
      <c r="A13" s="19"/>
      <c r="B13" s="136" t="s">
        <v>26</v>
      </c>
      <c r="C13" s="137"/>
      <c r="D13" s="137"/>
      <c r="E13" s="137"/>
      <c r="F13" s="137"/>
      <c r="G13" s="137"/>
      <c r="H13" s="137"/>
      <c r="I13" s="137"/>
      <c r="J13" s="137"/>
      <c r="K13" s="138"/>
      <c r="L13" s="26"/>
      <c r="M13" s="7">
        <f t="shared" si="3"/>
        <v>0</v>
      </c>
      <c r="N13" s="13"/>
      <c r="O13" s="7">
        <f t="shared" si="4"/>
        <v>0</v>
      </c>
      <c r="P13" s="43">
        <f t="shared" si="2"/>
        <v>0</v>
      </c>
      <c r="U13" s="47"/>
    </row>
    <row r="14" spans="1:22" s="71" customFormat="1" ht="105" customHeight="1" x14ac:dyDescent="0.25">
      <c r="A14" s="61"/>
      <c r="B14" s="62" t="s">
        <v>64</v>
      </c>
      <c r="C14" s="62" t="s">
        <v>63</v>
      </c>
      <c r="D14" s="64" t="s">
        <v>62</v>
      </c>
      <c r="E14" s="63">
        <v>2</v>
      </c>
      <c r="F14"/>
      <c r="G14" s="84">
        <v>5012</v>
      </c>
      <c r="H14" s="63">
        <v>1.421</v>
      </c>
      <c r="I14" s="63">
        <v>0.8</v>
      </c>
      <c r="J14" s="63">
        <v>2.1000000000000001E-2</v>
      </c>
      <c r="K14" s="65">
        <f t="shared" ref="K14:K16" si="5">H14*I14*J14</f>
        <v>2.3872800000000003E-2</v>
      </c>
      <c r="L14" s="66">
        <f t="shared" ref="L14:L16" si="6">K14*E14</f>
        <v>4.7745600000000006E-2</v>
      </c>
      <c r="M14" s="67" t="s">
        <v>27</v>
      </c>
      <c r="N14" s="68">
        <v>4</v>
      </c>
      <c r="O14" s="69">
        <f t="shared" si="4"/>
        <v>8</v>
      </c>
      <c r="P14" s="70"/>
      <c r="Q14" s="69">
        <f t="shared" ref="Q14:Q16" si="7">P14*E14</f>
        <v>0</v>
      </c>
      <c r="T14" s="71">
        <f>5*E14</f>
        <v>10</v>
      </c>
      <c r="U14" s="90"/>
    </row>
    <row r="15" spans="1:22" s="71" customFormat="1" ht="45.75" customHeight="1" x14ac:dyDescent="0.25">
      <c r="A15" s="72"/>
      <c r="B15" s="62" t="s">
        <v>65</v>
      </c>
      <c r="C15" s="82" t="s">
        <v>43</v>
      </c>
      <c r="D15" s="74" t="s">
        <v>42</v>
      </c>
      <c r="E15" s="73">
        <v>4</v>
      </c>
      <c r="F15" s="73"/>
      <c r="G15" s="75" t="s">
        <v>28</v>
      </c>
      <c r="H15" s="73">
        <v>0.6</v>
      </c>
      <c r="I15" s="73">
        <v>0.14000000000000001</v>
      </c>
      <c r="J15" s="73">
        <v>1.7999999999999999E-2</v>
      </c>
      <c r="K15" s="76">
        <f t="shared" si="5"/>
        <v>1.5119999999999999E-3</v>
      </c>
      <c r="L15" s="66">
        <f t="shared" si="6"/>
        <v>6.0479999999999996E-3</v>
      </c>
      <c r="M15" s="67" t="s">
        <v>29</v>
      </c>
      <c r="N15" s="68"/>
      <c r="O15" s="69">
        <f t="shared" si="4"/>
        <v>0</v>
      </c>
      <c r="P15" s="70"/>
      <c r="Q15" s="69">
        <f t="shared" si="7"/>
        <v>0</v>
      </c>
      <c r="U15" s="90">
        <v>8</v>
      </c>
    </row>
    <row r="16" spans="1:22" s="71" customFormat="1" ht="27.75" customHeight="1" thickBot="1" x14ac:dyDescent="0.3">
      <c r="A16" s="72"/>
      <c r="B16" s="62" t="s">
        <v>66</v>
      </c>
      <c r="C16" s="82" t="s">
        <v>44</v>
      </c>
      <c r="D16" s="73" t="s">
        <v>30</v>
      </c>
      <c r="E16" s="73">
        <v>4</v>
      </c>
      <c r="F16" s="73"/>
      <c r="G16" s="77">
        <v>8014</v>
      </c>
      <c r="H16" s="73">
        <v>3.5000000000000003E-2</v>
      </c>
      <c r="I16" s="73">
        <v>0.09</v>
      </c>
      <c r="J16" s="73">
        <v>0.55800000000000005</v>
      </c>
      <c r="K16" s="76">
        <f t="shared" si="5"/>
        <v>1.7577000000000003E-3</v>
      </c>
      <c r="L16" s="66">
        <f t="shared" si="6"/>
        <v>7.0308000000000011E-3</v>
      </c>
      <c r="M16" s="67" t="s">
        <v>31</v>
      </c>
      <c r="N16" s="68">
        <v>2</v>
      </c>
      <c r="O16" s="69">
        <f t="shared" si="4"/>
        <v>8</v>
      </c>
      <c r="P16" s="70"/>
      <c r="Q16" s="69">
        <f t="shared" si="7"/>
        <v>0</v>
      </c>
      <c r="U16" s="90"/>
      <c r="V16" s="71">
        <v>8</v>
      </c>
    </row>
    <row r="17" spans="1:21" ht="22.5" customHeight="1" thickBot="1" x14ac:dyDescent="0.3">
      <c r="A17" s="19"/>
      <c r="B17" s="136" t="s">
        <v>18</v>
      </c>
      <c r="C17" s="137"/>
      <c r="D17" s="137"/>
      <c r="E17" s="137"/>
      <c r="F17" s="137"/>
      <c r="G17" s="137"/>
      <c r="H17" s="137"/>
      <c r="I17" s="137"/>
      <c r="J17" s="137"/>
      <c r="K17" s="138"/>
      <c r="L17" s="26"/>
      <c r="M17" s="7">
        <f t="shared" si="3"/>
        <v>0</v>
      </c>
      <c r="N17" s="13"/>
      <c r="O17" s="7">
        <f t="shared" si="4"/>
        <v>0</v>
      </c>
      <c r="P17" s="43">
        <f t="shared" si="2"/>
        <v>0</v>
      </c>
      <c r="U17" s="47"/>
    </row>
    <row r="18" spans="1:21" s="1" customFormat="1" ht="95.25" customHeight="1" x14ac:dyDescent="0.25">
      <c r="A18" s="57"/>
      <c r="B18" s="40">
        <v>9</v>
      </c>
      <c r="C18" s="48" t="s">
        <v>68</v>
      </c>
      <c r="D18" s="40" t="s">
        <v>67</v>
      </c>
      <c r="E18" s="40">
        <v>1</v>
      </c>
      <c r="F18"/>
      <c r="G18" s="84">
        <v>5012</v>
      </c>
      <c r="H18" s="32">
        <v>0.99399999999999999</v>
      </c>
      <c r="I18" s="32">
        <v>1.21</v>
      </c>
      <c r="J18" s="32"/>
      <c r="K18" s="33">
        <v>1.8041099999999997E-2</v>
      </c>
      <c r="L18" s="29">
        <v>5</v>
      </c>
      <c r="M18" s="7">
        <f t="shared" si="3"/>
        <v>5</v>
      </c>
      <c r="N18" s="7"/>
      <c r="O18" s="7">
        <f t="shared" si="4"/>
        <v>0</v>
      </c>
      <c r="P18" s="43">
        <f t="shared" si="2"/>
        <v>1.8041099999999997E-2</v>
      </c>
      <c r="T18" s="1">
        <v>2</v>
      </c>
      <c r="U18" s="27"/>
    </row>
    <row r="19" spans="1:21" s="1" customFormat="1" ht="79.5" customHeight="1" x14ac:dyDescent="0.25">
      <c r="A19" s="57"/>
      <c r="B19" s="7">
        <v>10</v>
      </c>
      <c r="C19" s="39" t="s">
        <v>70</v>
      </c>
      <c r="D19" s="7" t="s">
        <v>69</v>
      </c>
      <c r="E19" s="7">
        <v>2</v>
      </c>
      <c r="F19"/>
      <c r="G19" s="20">
        <v>2008</v>
      </c>
      <c r="H19" s="28">
        <v>0.8</v>
      </c>
      <c r="I19" s="28">
        <v>0.65</v>
      </c>
      <c r="J19" s="28"/>
      <c r="K19" s="22">
        <v>7.7999999999999996E-3</v>
      </c>
      <c r="L19" s="29">
        <v>4</v>
      </c>
      <c r="M19" s="7">
        <f t="shared" si="3"/>
        <v>8</v>
      </c>
      <c r="N19" s="7"/>
      <c r="O19" s="7">
        <f t="shared" si="4"/>
        <v>0</v>
      </c>
      <c r="P19" s="43">
        <f t="shared" si="2"/>
        <v>1.5599999999999999E-2</v>
      </c>
      <c r="T19" s="1">
        <v>4</v>
      </c>
      <c r="U19" s="27"/>
    </row>
    <row r="20" spans="1:21" s="1" customFormat="1" ht="51.75" customHeight="1" x14ac:dyDescent="0.2">
      <c r="A20" s="57"/>
      <c r="B20" s="40">
        <v>11</v>
      </c>
      <c r="C20" s="39" t="s">
        <v>45</v>
      </c>
      <c r="D20" s="7" t="s">
        <v>36</v>
      </c>
      <c r="E20" s="7">
        <v>10</v>
      </c>
      <c r="F20" s="36"/>
      <c r="G20" s="36" t="s">
        <v>25</v>
      </c>
      <c r="H20" s="36">
        <v>0.11</v>
      </c>
      <c r="I20" s="36">
        <v>0.11</v>
      </c>
      <c r="J20" s="36"/>
      <c r="K20" s="41">
        <f t="shared" ref="K20" si="8">H20*I20*J20</f>
        <v>0</v>
      </c>
      <c r="L20" s="29"/>
      <c r="M20" s="7">
        <f t="shared" si="3"/>
        <v>0</v>
      </c>
      <c r="N20" s="7"/>
      <c r="O20" s="7">
        <f t="shared" si="4"/>
        <v>0</v>
      </c>
      <c r="P20" s="43"/>
      <c r="U20" s="27"/>
    </row>
    <row r="21" spans="1:21" s="1" customFormat="1" ht="27.75" customHeight="1" thickBot="1" x14ac:dyDescent="0.25">
      <c r="A21" s="57"/>
      <c r="B21" s="7">
        <v>12</v>
      </c>
      <c r="C21" s="42" t="s">
        <v>41</v>
      </c>
      <c r="D21" s="8" t="s">
        <v>13</v>
      </c>
      <c r="E21" s="42">
        <v>16</v>
      </c>
      <c r="F21" s="42"/>
      <c r="G21" s="11">
        <v>7047</v>
      </c>
      <c r="H21" s="42"/>
      <c r="I21" s="42"/>
      <c r="J21" s="42"/>
      <c r="K21" s="17"/>
      <c r="L21" s="29"/>
      <c r="M21" s="7">
        <f t="shared" si="3"/>
        <v>0</v>
      </c>
      <c r="N21" s="7">
        <v>2</v>
      </c>
      <c r="O21" s="7">
        <f t="shared" si="4"/>
        <v>32</v>
      </c>
      <c r="P21" s="43">
        <f t="shared" ref="P21:P33" si="9">K21*E21</f>
        <v>0</v>
      </c>
      <c r="U21" s="27"/>
    </row>
    <row r="22" spans="1:21" ht="31.5" customHeight="1" thickBot="1" x14ac:dyDescent="0.3">
      <c r="A22" s="151" t="s">
        <v>33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3"/>
      <c r="L22" s="66">
        <f t="shared" ref="L22:L23" si="10">K22*E22</f>
        <v>0</v>
      </c>
      <c r="M22" s="78"/>
      <c r="N22" s="79"/>
      <c r="O22" s="69">
        <f t="shared" si="4"/>
        <v>0</v>
      </c>
      <c r="P22" s="69">
        <f t="shared" ref="P22:P23" si="11">O22*E22</f>
        <v>0</v>
      </c>
      <c r="Q22" s="69">
        <f t="shared" ref="Q22:Q23" si="12">P22*E22</f>
        <v>0</v>
      </c>
      <c r="U22" s="47"/>
    </row>
    <row r="23" spans="1:21" s="71" customFormat="1" ht="146.25" customHeight="1" thickBot="1" x14ac:dyDescent="0.3">
      <c r="A23" s="80"/>
      <c r="B23" s="63">
        <v>13</v>
      </c>
      <c r="C23" s="81" t="s">
        <v>46</v>
      </c>
      <c r="D23" s="81" t="s">
        <v>34</v>
      </c>
      <c r="E23" s="63">
        <v>1</v>
      </c>
      <c r="F23" s="63"/>
      <c r="G23" s="85" t="s">
        <v>71</v>
      </c>
      <c r="H23" s="63">
        <v>0.6</v>
      </c>
      <c r="I23" s="63">
        <v>1.7</v>
      </c>
      <c r="J23" s="63">
        <v>1.9</v>
      </c>
      <c r="K23" s="65">
        <f t="shared" ref="K23" si="13">H23*I23*J23</f>
        <v>1.9379999999999999</v>
      </c>
      <c r="L23" s="66">
        <f t="shared" si="10"/>
        <v>1.9379999999999999</v>
      </c>
      <c r="M23" s="67" t="s">
        <v>35</v>
      </c>
      <c r="N23" s="79">
        <v>1</v>
      </c>
      <c r="O23" s="69">
        <f t="shared" si="4"/>
        <v>1</v>
      </c>
      <c r="P23" s="69">
        <f t="shared" si="11"/>
        <v>1</v>
      </c>
      <c r="Q23" s="69">
        <f t="shared" si="12"/>
        <v>1</v>
      </c>
      <c r="T23" s="71">
        <v>6</v>
      </c>
      <c r="U23" s="90">
        <v>4</v>
      </c>
    </row>
    <row r="24" spans="1:21" s="1" customFormat="1" ht="27.75" customHeight="1" thickBot="1" x14ac:dyDescent="0.25">
      <c r="A24" s="19"/>
      <c r="B24" s="142" t="s">
        <v>12</v>
      </c>
      <c r="C24" s="143"/>
      <c r="D24" s="143"/>
      <c r="E24" s="143"/>
      <c r="F24" s="143"/>
      <c r="G24" s="143"/>
      <c r="H24" s="143"/>
      <c r="I24" s="143"/>
      <c r="J24" s="143"/>
      <c r="K24" s="144"/>
      <c r="L24" s="29"/>
      <c r="M24" s="7">
        <f t="shared" si="3"/>
        <v>0</v>
      </c>
      <c r="N24" s="7"/>
      <c r="O24" s="7">
        <f t="shared" si="4"/>
        <v>0</v>
      </c>
      <c r="P24" s="43">
        <f t="shared" si="9"/>
        <v>0</v>
      </c>
      <c r="U24" s="27"/>
    </row>
    <row r="25" spans="1:21" s="1" customFormat="1" ht="72" customHeight="1" x14ac:dyDescent="0.2">
      <c r="A25" s="57"/>
      <c r="B25" s="40">
        <v>14</v>
      </c>
      <c r="C25" s="48" t="s">
        <v>47</v>
      </c>
      <c r="D25" s="40" t="s">
        <v>32</v>
      </c>
      <c r="E25" s="40">
        <v>4</v>
      </c>
      <c r="F25" s="51"/>
      <c r="G25" s="45">
        <v>7047</v>
      </c>
      <c r="H25" s="40">
        <v>0.6</v>
      </c>
      <c r="I25" s="40">
        <v>0.04</v>
      </c>
      <c r="J25" s="40">
        <v>0.1</v>
      </c>
      <c r="K25" s="35">
        <f>H25*I25*J25</f>
        <v>2.4000000000000002E-3</v>
      </c>
      <c r="L25" s="29">
        <v>4</v>
      </c>
      <c r="M25" s="7">
        <f t="shared" si="3"/>
        <v>16</v>
      </c>
      <c r="N25" s="7"/>
      <c r="O25" s="7">
        <f t="shared" si="4"/>
        <v>0</v>
      </c>
      <c r="P25" s="43">
        <f t="shared" si="9"/>
        <v>9.6000000000000009E-3</v>
      </c>
      <c r="T25" s="1">
        <f>E25*4</f>
        <v>16</v>
      </c>
      <c r="U25" s="27"/>
    </row>
    <row r="26" spans="1:21" s="1" customFormat="1" ht="50.25" customHeight="1" x14ac:dyDescent="0.2">
      <c r="A26" s="57"/>
      <c r="B26" s="7">
        <v>15</v>
      </c>
      <c r="C26" s="39" t="s">
        <v>48</v>
      </c>
      <c r="D26" s="7" t="s">
        <v>49</v>
      </c>
      <c r="E26" s="36">
        <v>2</v>
      </c>
      <c r="F26" s="36"/>
      <c r="G26" s="50">
        <v>7047</v>
      </c>
      <c r="H26" s="36">
        <v>0.6</v>
      </c>
      <c r="I26" s="36">
        <v>2.1000000000000001E-2</v>
      </c>
      <c r="J26" s="36">
        <v>0.21</v>
      </c>
      <c r="K26" s="41">
        <f t="shared" ref="K26" si="14">H26*I26*J26</f>
        <v>2.6459999999999999E-3</v>
      </c>
      <c r="L26" s="29"/>
      <c r="M26" s="7">
        <f t="shared" si="3"/>
        <v>0</v>
      </c>
      <c r="N26" s="7"/>
      <c r="O26" s="7">
        <f t="shared" si="4"/>
        <v>0</v>
      </c>
      <c r="P26" s="43"/>
      <c r="U26" s="27"/>
    </row>
    <row r="27" spans="1:21" s="1" customFormat="1" ht="106.5" customHeight="1" x14ac:dyDescent="0.25">
      <c r="A27" s="25"/>
      <c r="B27" s="40">
        <v>16</v>
      </c>
      <c r="C27" s="27" t="s">
        <v>51</v>
      </c>
      <c r="D27" s="27" t="s">
        <v>50</v>
      </c>
      <c r="E27" s="27">
        <v>1</v>
      </c>
      <c r="F27" s="47"/>
      <c r="G27" s="50">
        <v>7047</v>
      </c>
      <c r="H27" s="27"/>
      <c r="I27" s="27"/>
      <c r="J27" s="27"/>
      <c r="K27" s="27"/>
      <c r="O27" s="1">
        <f>N27*E27</f>
        <v>0</v>
      </c>
      <c r="T27" s="1">
        <v>4</v>
      </c>
      <c r="U27" s="27"/>
    </row>
    <row r="28" spans="1:21" s="1" customFormat="1" ht="106.5" customHeight="1" x14ac:dyDescent="0.25">
      <c r="A28" s="86"/>
      <c r="B28" s="83">
        <v>17</v>
      </c>
      <c r="C28" s="87"/>
      <c r="D28" s="87" t="s">
        <v>72</v>
      </c>
      <c r="E28" s="87">
        <v>1</v>
      </c>
      <c r="F28" s="88"/>
      <c r="G28" s="50">
        <v>7047</v>
      </c>
      <c r="H28" s="87"/>
      <c r="I28" s="87"/>
      <c r="J28" s="87"/>
      <c r="K28" s="89"/>
      <c r="T28" s="1">
        <v>2</v>
      </c>
      <c r="U28" s="27"/>
    </row>
    <row r="29" spans="1:21" s="1" customFormat="1" ht="64.5" customHeight="1" thickBot="1" x14ac:dyDescent="0.3">
      <c r="A29" s="86"/>
      <c r="B29" s="83">
        <v>18</v>
      </c>
      <c r="C29" s="87" t="s">
        <v>41</v>
      </c>
      <c r="D29" s="87" t="s">
        <v>73</v>
      </c>
      <c r="E29" s="87">
        <v>8</v>
      </c>
      <c r="F29" s="88"/>
      <c r="G29" s="50">
        <v>7047</v>
      </c>
      <c r="H29" s="87"/>
      <c r="I29" s="87"/>
      <c r="J29" s="87"/>
      <c r="K29" s="89"/>
      <c r="U29" s="27"/>
    </row>
    <row r="30" spans="1:21" ht="18.75" customHeight="1" thickBot="1" x14ac:dyDescent="0.3">
      <c r="A30" s="139" t="s">
        <v>14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1"/>
      <c r="L30" s="26"/>
      <c r="M30" s="7">
        <f t="shared" si="3"/>
        <v>0</v>
      </c>
      <c r="N30" s="13"/>
      <c r="O30" s="7">
        <f t="shared" si="4"/>
        <v>0</v>
      </c>
      <c r="P30" s="43">
        <f t="shared" si="9"/>
        <v>0</v>
      </c>
      <c r="U30" s="47"/>
    </row>
    <row r="31" spans="1:21" ht="58.5" customHeight="1" x14ac:dyDescent="0.25">
      <c r="A31" s="12"/>
      <c r="B31" s="31">
        <v>34</v>
      </c>
      <c r="C31" s="7" t="s">
        <v>52</v>
      </c>
      <c r="D31" s="38" t="s">
        <v>15</v>
      </c>
      <c r="E31" s="30">
        <v>20</v>
      </c>
      <c r="F31" s="13"/>
      <c r="G31" s="31" t="s">
        <v>24</v>
      </c>
      <c r="H31" s="31">
        <v>2.7E-2</v>
      </c>
      <c r="I31" s="31">
        <v>2.7E-2</v>
      </c>
      <c r="J31" s="31">
        <v>1.6E-2</v>
      </c>
      <c r="K31" s="22">
        <v>1.1663999999999999E-5</v>
      </c>
      <c r="L31" s="26"/>
      <c r="M31" s="7">
        <f t="shared" si="3"/>
        <v>0</v>
      </c>
      <c r="N31" s="13"/>
      <c r="O31" s="7">
        <f t="shared" si="4"/>
        <v>0</v>
      </c>
      <c r="P31" s="43">
        <f t="shared" si="9"/>
        <v>2.3327999999999999E-4</v>
      </c>
      <c r="U31" s="47"/>
    </row>
    <row r="32" spans="1:21" ht="66.75" customHeight="1" x14ac:dyDescent="0.25">
      <c r="A32" s="12"/>
      <c r="B32" s="31">
        <v>35</v>
      </c>
      <c r="C32" s="7" t="s">
        <v>53</v>
      </c>
      <c r="D32" s="38" t="s">
        <v>16</v>
      </c>
      <c r="E32" s="30">
        <v>72</v>
      </c>
      <c r="F32" s="13"/>
      <c r="G32" s="31" t="s">
        <v>24</v>
      </c>
      <c r="H32" s="31">
        <v>3.5999999999999997E-2</v>
      </c>
      <c r="I32" s="31">
        <v>3.5999999999999997E-2</v>
      </c>
      <c r="J32" s="31">
        <v>2.3E-2</v>
      </c>
      <c r="K32" s="22">
        <v>2.9807999999999996E-5</v>
      </c>
      <c r="L32" s="26"/>
      <c r="M32" s="7">
        <f t="shared" si="3"/>
        <v>0</v>
      </c>
      <c r="N32" s="13"/>
      <c r="O32" s="7">
        <f t="shared" si="4"/>
        <v>0</v>
      </c>
      <c r="P32" s="43">
        <f t="shared" si="9"/>
        <v>2.1461759999999996E-3</v>
      </c>
      <c r="U32" s="47"/>
    </row>
    <row r="33" spans="1:22" ht="66.75" customHeight="1" thickBot="1" x14ac:dyDescent="0.3">
      <c r="A33" s="14"/>
      <c r="B33" s="24">
        <v>36</v>
      </c>
      <c r="C33" s="21" t="s">
        <v>54</v>
      </c>
      <c r="D33" s="9" t="s">
        <v>55</v>
      </c>
      <c r="E33" s="15">
        <v>6</v>
      </c>
      <c r="F33" s="16"/>
      <c r="G33" s="24" t="s">
        <v>24</v>
      </c>
      <c r="H33" s="24">
        <v>0.09</v>
      </c>
      <c r="I33" s="24">
        <v>0.09</v>
      </c>
      <c r="J33" s="24">
        <v>4.3999999999999997E-2</v>
      </c>
      <c r="K33" s="23">
        <v>3.5639999999999994E-4</v>
      </c>
      <c r="L33" s="26"/>
      <c r="M33" s="7">
        <f t="shared" si="3"/>
        <v>0</v>
      </c>
      <c r="N33" s="13"/>
      <c r="O33" s="7">
        <f t="shared" si="4"/>
        <v>0</v>
      </c>
      <c r="P33" s="43">
        <f t="shared" si="9"/>
        <v>2.1383999999999995E-3</v>
      </c>
      <c r="S33">
        <v>6</v>
      </c>
      <c r="U33" s="47"/>
    </row>
    <row r="34" spans="1:22" x14ac:dyDescent="0.25">
      <c r="M34">
        <f>SUM(M9:M33)</f>
        <v>47</v>
      </c>
      <c r="O34">
        <f>SUM(O9:O33)</f>
        <v>49</v>
      </c>
      <c r="P34" s="5">
        <f>SUM(P7:P33)</f>
        <v>1.1847589560000003</v>
      </c>
      <c r="R34">
        <f>SUM(R9:R33)</f>
        <v>4</v>
      </c>
      <c r="S34">
        <f>SUM(S9:S33)</f>
        <v>24</v>
      </c>
      <c r="T34">
        <f>SUM(T9:T33)</f>
        <v>44</v>
      </c>
      <c r="U34">
        <f>SUM(U9:U33)</f>
        <v>12</v>
      </c>
      <c r="V34">
        <f>SUM(V9:V33)</f>
        <v>8</v>
      </c>
    </row>
    <row r="35" spans="1:22" ht="15.75" thickBot="1" x14ac:dyDescent="0.3">
      <c r="C35" s="130" t="s">
        <v>95</v>
      </c>
      <c r="D35" s="130"/>
      <c r="E35" s="130"/>
      <c r="F35" s="130"/>
      <c r="R35" t="s">
        <v>74</v>
      </c>
      <c r="S35" t="s">
        <v>75</v>
      </c>
      <c r="T35" t="s">
        <v>76</v>
      </c>
      <c r="U35" s="47" t="s">
        <v>77</v>
      </c>
      <c r="V35" s="47" t="s">
        <v>78</v>
      </c>
    </row>
    <row r="36" spans="1:22" x14ac:dyDescent="0.25">
      <c r="C36" s="131" t="s">
        <v>79</v>
      </c>
      <c r="D36" s="93" t="s">
        <v>80</v>
      </c>
      <c r="E36" s="94">
        <v>4</v>
      </c>
      <c r="F36" s="95" t="s">
        <v>94</v>
      </c>
    </row>
    <row r="37" spans="1:22" x14ac:dyDescent="0.25">
      <c r="C37" s="132"/>
      <c r="D37" s="91" t="s">
        <v>81</v>
      </c>
      <c r="E37" s="92">
        <v>12</v>
      </c>
      <c r="F37" s="96" t="s">
        <v>94</v>
      </c>
    </row>
    <row r="38" spans="1:22" ht="15.75" thickBot="1" x14ac:dyDescent="0.3">
      <c r="C38" s="133"/>
      <c r="D38" s="97" t="s">
        <v>82</v>
      </c>
      <c r="E38" s="98">
        <v>8</v>
      </c>
      <c r="F38" s="99" t="s">
        <v>94</v>
      </c>
    </row>
    <row r="39" spans="1:22" x14ac:dyDescent="0.25">
      <c r="C39" s="134" t="s">
        <v>83</v>
      </c>
      <c r="D39" s="93" t="s">
        <v>84</v>
      </c>
      <c r="E39" s="94">
        <v>24</v>
      </c>
      <c r="F39" s="95" t="s">
        <v>94</v>
      </c>
    </row>
    <row r="40" spans="1:22" ht="15.75" thickBot="1" x14ac:dyDescent="0.3">
      <c r="C40" s="135"/>
      <c r="D40" s="97" t="s">
        <v>85</v>
      </c>
      <c r="E40" s="98">
        <v>44</v>
      </c>
      <c r="F40" s="99" t="s">
        <v>94</v>
      </c>
    </row>
    <row r="41" spans="1:22" x14ac:dyDescent="0.25">
      <c r="C41" s="134" t="s">
        <v>89</v>
      </c>
      <c r="D41" s="93" t="s">
        <v>90</v>
      </c>
      <c r="E41" s="94">
        <f>E36</f>
        <v>4</v>
      </c>
      <c r="F41" s="95" t="s">
        <v>94</v>
      </c>
    </row>
    <row r="42" spans="1:22" x14ac:dyDescent="0.25">
      <c r="C42" s="126"/>
      <c r="D42" s="91" t="s">
        <v>91</v>
      </c>
      <c r="E42" s="92">
        <f>E39+E40</f>
        <v>68</v>
      </c>
      <c r="F42" s="96" t="s">
        <v>94</v>
      </c>
    </row>
    <row r="43" spans="1:22" ht="15.75" thickBot="1" x14ac:dyDescent="0.3">
      <c r="C43" s="135"/>
      <c r="D43" s="97" t="s">
        <v>92</v>
      </c>
      <c r="E43" s="98">
        <f>E37+E38</f>
        <v>20</v>
      </c>
      <c r="F43" s="99" t="s">
        <v>94</v>
      </c>
    </row>
    <row r="44" spans="1:22" x14ac:dyDescent="0.25">
      <c r="C44" s="134" t="s">
        <v>93</v>
      </c>
      <c r="D44" s="93" t="s">
        <v>90</v>
      </c>
      <c r="E44" s="94">
        <f>E36</f>
        <v>4</v>
      </c>
      <c r="F44" s="95" t="s">
        <v>94</v>
      </c>
    </row>
    <row r="45" spans="1:22" ht="15.75" thickBot="1" x14ac:dyDescent="0.3">
      <c r="C45" s="135"/>
      <c r="D45" s="97" t="s">
        <v>92</v>
      </c>
      <c r="E45" s="98">
        <f>E37+E38</f>
        <v>20</v>
      </c>
      <c r="F45" s="99" t="s">
        <v>94</v>
      </c>
    </row>
    <row r="46" spans="1:22" x14ac:dyDescent="0.25">
      <c r="C46" s="134" t="s">
        <v>86</v>
      </c>
      <c r="D46" s="93" t="s">
        <v>52</v>
      </c>
      <c r="E46" s="94">
        <f>E37+E38</f>
        <v>20</v>
      </c>
      <c r="F46" s="95" t="s">
        <v>94</v>
      </c>
    </row>
    <row r="47" spans="1:22" x14ac:dyDescent="0.25">
      <c r="C47" s="126"/>
      <c r="D47" s="91" t="s">
        <v>53</v>
      </c>
      <c r="E47" s="92">
        <f>E36+E39+E40</f>
        <v>72</v>
      </c>
      <c r="F47" s="96" t="s">
        <v>94</v>
      </c>
    </row>
    <row r="48" spans="1:22" ht="15.75" thickBot="1" x14ac:dyDescent="0.3">
      <c r="C48" s="135"/>
      <c r="D48" s="97" t="s">
        <v>54</v>
      </c>
      <c r="E48" s="98">
        <v>6</v>
      </c>
      <c r="F48" s="99" t="s">
        <v>94</v>
      </c>
    </row>
    <row r="49" spans="3:8" ht="15.75" thickBot="1" x14ac:dyDescent="0.3">
      <c r="C49" s="100" t="s">
        <v>87</v>
      </c>
      <c r="D49" s="101" t="s">
        <v>88</v>
      </c>
      <c r="E49" s="102">
        <v>24</v>
      </c>
      <c r="F49" s="103" t="s">
        <v>94</v>
      </c>
    </row>
    <row r="51" spans="3:8" ht="15.75" thickBot="1" x14ac:dyDescent="0.3"/>
    <row r="52" spans="3:8" ht="60.75" customHeight="1" x14ac:dyDescent="0.25">
      <c r="C52" s="104" t="s">
        <v>96</v>
      </c>
      <c r="D52" s="93"/>
      <c r="E52" s="94"/>
    </row>
    <row r="53" spans="3:8" x14ac:dyDescent="0.25">
      <c r="C53" s="107" t="s">
        <v>97</v>
      </c>
      <c r="D53" s="108" t="s">
        <v>98</v>
      </c>
      <c r="E53" s="108" t="s">
        <v>94</v>
      </c>
    </row>
    <row r="54" spans="3:8" x14ac:dyDescent="0.25">
      <c r="C54" s="105" t="s">
        <v>87</v>
      </c>
      <c r="D54" s="91" t="s">
        <v>99</v>
      </c>
      <c r="E54" s="92">
        <v>8</v>
      </c>
    </row>
    <row r="55" spans="3:8" x14ac:dyDescent="0.25">
      <c r="C55" s="126" t="s">
        <v>79</v>
      </c>
      <c r="D55" s="91" t="s">
        <v>81</v>
      </c>
      <c r="E55" s="92">
        <v>8</v>
      </c>
    </row>
    <row r="56" spans="3:8" x14ac:dyDescent="0.25">
      <c r="C56" s="126"/>
      <c r="D56" s="91" t="s">
        <v>82</v>
      </c>
      <c r="E56" s="92">
        <v>8</v>
      </c>
    </row>
    <row r="57" spans="3:8" x14ac:dyDescent="0.25">
      <c r="C57" s="105" t="s">
        <v>89</v>
      </c>
      <c r="D57" s="91" t="s">
        <v>92</v>
      </c>
      <c r="E57" s="92">
        <v>16</v>
      </c>
    </row>
    <row r="58" spans="3:8" x14ac:dyDescent="0.25">
      <c r="C58" s="105" t="s">
        <v>93</v>
      </c>
      <c r="D58" s="91" t="s">
        <v>92</v>
      </c>
      <c r="E58" s="92">
        <v>16</v>
      </c>
    </row>
    <row r="59" spans="3:8" x14ac:dyDescent="0.25">
      <c r="C59" s="105" t="s">
        <v>100</v>
      </c>
      <c r="D59" s="91" t="s">
        <v>52</v>
      </c>
      <c r="E59" s="92">
        <v>16</v>
      </c>
    </row>
    <row r="61" spans="3:8" x14ac:dyDescent="0.25">
      <c r="C61" s="127" t="s">
        <v>101</v>
      </c>
      <c r="D61" s="128"/>
    </row>
    <row r="62" spans="3:8" ht="45" x14ac:dyDescent="0.25">
      <c r="C62" s="109" t="s">
        <v>102</v>
      </c>
      <c r="D62" s="110" t="s">
        <v>98</v>
      </c>
      <c r="E62" s="111" t="s">
        <v>103</v>
      </c>
      <c r="F62" s="111" t="s">
        <v>104</v>
      </c>
      <c r="G62" s="110" t="s">
        <v>105</v>
      </c>
      <c r="H62" s="112" t="s">
        <v>106</v>
      </c>
    </row>
    <row r="63" spans="3:8" x14ac:dyDescent="0.25">
      <c r="C63" s="113" t="s">
        <v>87</v>
      </c>
      <c r="D63" s="114" t="s">
        <v>107</v>
      </c>
      <c r="E63" s="108">
        <v>4.4000000000000003E-3</v>
      </c>
      <c r="F63" s="108">
        <v>3.5200000000000002E-2</v>
      </c>
      <c r="G63" s="108">
        <v>0.06</v>
      </c>
      <c r="H63" s="108">
        <v>0.48</v>
      </c>
    </row>
    <row r="65" spans="3:11" x14ac:dyDescent="0.25">
      <c r="C65" s="127" t="s">
        <v>108</v>
      </c>
      <c r="D65" s="129"/>
      <c r="E65" s="129"/>
      <c r="K65" s="115"/>
    </row>
    <row r="66" spans="3:11" x14ac:dyDescent="0.25">
      <c r="C66" s="109" t="s">
        <v>109</v>
      </c>
      <c r="D66" s="110" t="s">
        <v>110</v>
      </c>
      <c r="E66" s="110" t="s">
        <v>111</v>
      </c>
      <c r="F66" s="110" t="s">
        <v>112</v>
      </c>
      <c r="G66" s="110" t="s">
        <v>113</v>
      </c>
      <c r="H66" s="110" t="s">
        <v>114</v>
      </c>
      <c r="I66" s="116" t="s">
        <v>115</v>
      </c>
      <c r="J66" s="92" t="s">
        <v>94</v>
      </c>
      <c r="K66" s="117" t="s">
        <v>5</v>
      </c>
    </row>
    <row r="67" spans="3:11" ht="30" x14ac:dyDescent="0.25">
      <c r="C67" s="118" t="s">
        <v>63</v>
      </c>
      <c r="D67" s="119" t="s">
        <v>62</v>
      </c>
      <c r="E67" s="92">
        <v>1.3</v>
      </c>
      <c r="F67" s="110">
        <v>200</v>
      </c>
      <c r="G67" s="92">
        <v>1.1000000000000001</v>
      </c>
      <c r="H67" s="92">
        <f>E67*F67*G67</f>
        <v>286</v>
      </c>
      <c r="I67" s="92">
        <f>H67*2</f>
        <v>572</v>
      </c>
      <c r="J67" s="92">
        <v>2</v>
      </c>
      <c r="K67" s="120">
        <v>8014</v>
      </c>
    </row>
    <row r="68" spans="3:11" x14ac:dyDescent="0.25">
      <c r="C68" s="118" t="s">
        <v>44</v>
      </c>
      <c r="D68" s="119" t="s">
        <v>30</v>
      </c>
      <c r="E68" s="92">
        <v>0.15</v>
      </c>
      <c r="F68" s="110">
        <v>200</v>
      </c>
      <c r="G68" s="92">
        <v>1.1000000000000001</v>
      </c>
      <c r="H68" s="108">
        <f>E68*F68*G68</f>
        <v>33</v>
      </c>
      <c r="I68" s="108">
        <f>H68*4</f>
        <v>132</v>
      </c>
      <c r="J68" s="92">
        <v>4</v>
      </c>
      <c r="K68" s="120">
        <v>8014</v>
      </c>
    </row>
    <row r="69" spans="3:11" ht="15.75" thickBot="1" x14ac:dyDescent="0.3">
      <c r="C69" s="121" t="s">
        <v>41</v>
      </c>
      <c r="D69" s="122" t="s">
        <v>116</v>
      </c>
      <c r="E69" s="98">
        <v>0.01</v>
      </c>
      <c r="F69" s="123">
        <v>200</v>
      </c>
      <c r="G69" s="98">
        <v>1.1000000000000001</v>
      </c>
      <c r="H69" s="124">
        <f t="shared" ref="H69" si="15">E69*F69*G69</f>
        <v>2.2000000000000002</v>
      </c>
      <c r="I69" s="124">
        <f>H69*J69</f>
        <v>17.600000000000001</v>
      </c>
      <c r="J69" s="124">
        <v>8</v>
      </c>
      <c r="K69" s="125" t="s">
        <v>117</v>
      </c>
    </row>
  </sheetData>
  <mergeCells count="19">
    <mergeCell ref="B13:K13"/>
    <mergeCell ref="A30:K30"/>
    <mergeCell ref="B17:K17"/>
    <mergeCell ref="B24:K24"/>
    <mergeCell ref="A1:K1"/>
    <mergeCell ref="B6:K6"/>
    <mergeCell ref="B10:K10"/>
    <mergeCell ref="B3:K4"/>
    <mergeCell ref="B2:K2"/>
    <mergeCell ref="A22:K22"/>
    <mergeCell ref="C55:C56"/>
    <mergeCell ref="C61:D61"/>
    <mergeCell ref="C65:E65"/>
    <mergeCell ref="C35:F35"/>
    <mergeCell ref="C36:C38"/>
    <mergeCell ref="C39:C40"/>
    <mergeCell ref="C46:C48"/>
    <mergeCell ref="C41:C43"/>
    <mergeCell ref="C44:C45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2023-06-07T06:51:05Z</cp:lastPrinted>
  <dcterms:created xsi:type="dcterms:W3CDTF">2017-04-27T07:18:00Z</dcterms:created>
  <dcterms:modified xsi:type="dcterms:W3CDTF">2026-03-17T14:04:06Z</dcterms:modified>
</cp:coreProperties>
</file>