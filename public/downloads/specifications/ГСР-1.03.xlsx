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emf" ContentType="image/x-emf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  <sheet name="Лист2" sheetId="2" state="visible" r:id="rId2"/>
    <sheet name="Лист3" sheetId="3" state="visible" r:id="rId3"/>
  </sheets>
  <calcPr iterateDelta="0.0001"/>
</workbook>
</file>

<file path=xl/sharedStrings.xml><?xml version="1.0" encoding="utf-8"?>
<sst xmlns="http://schemas.openxmlformats.org/spreadsheetml/2006/main" count="90" uniqueCount="90">
  <si>
    <t>ГСР-1.03</t>
  </si>
  <si>
    <t xml:space="preserve">Размер 2,27*0,65*1,38</t>
  </si>
  <si>
    <t xml:space="preserve">№ п/п</t>
  </si>
  <si>
    <t>Артикул</t>
  </si>
  <si>
    <t>Наименование</t>
  </si>
  <si>
    <t>Кол-во</t>
  </si>
  <si>
    <t>Изображение</t>
  </si>
  <si>
    <t>цвет</t>
  </si>
  <si>
    <t xml:space="preserve">Длина, м</t>
  </si>
  <si>
    <t xml:space="preserve">Ширина, м</t>
  </si>
  <si>
    <t xml:space="preserve">Высота, м</t>
  </si>
  <si>
    <t xml:space="preserve">Объем, м3</t>
  </si>
  <si>
    <t xml:space="preserve">Объем всего</t>
  </si>
  <si>
    <t xml:space="preserve">Метизы крепления на 1 комплектующую</t>
  </si>
  <si>
    <t xml:space="preserve">Заглушка м8-10 (крепеж к столбу) (на 1 комплектующую)</t>
  </si>
  <si>
    <t xml:space="preserve">всего м8-10</t>
  </si>
  <si>
    <t xml:space="preserve">Заглушка м6 (крепеж фанеры между собой)</t>
  </si>
  <si>
    <t xml:space="preserve">всего м6</t>
  </si>
  <si>
    <t xml:space="preserve">Используемые материалы</t>
  </si>
  <si>
    <t>СТОЙКИ</t>
  </si>
  <si>
    <t>0010МП</t>
  </si>
  <si>
    <t xml:space="preserve">Стойка горки под площадку (570х1000х40) (серый)</t>
  </si>
  <si>
    <t xml:space="preserve">Болт мебельный М6х80 - 4 шт.                               Шайба м8 увел. - 4 шт.                           Гайка м6 - 4 шт        </t>
  </si>
  <si>
    <t xml:space="preserve">Труба стальная квадратным сечением 40х40х2,5 мм</t>
  </si>
  <si>
    <t>0011МП</t>
  </si>
  <si>
    <t xml:space="preserve">Стойка горки под лестницу (570х665х40) (серый)</t>
  </si>
  <si>
    <t xml:space="preserve">Болт мебельный М6х80 - 2 шт.                               Шайба м8 увел. - 2 шт.                           Гайка м6 - 2 шт        </t>
  </si>
  <si>
    <t>ПАНЕЛИ</t>
  </si>
  <si>
    <t xml:space="preserve">ЭЛЕМЕНТЫ ДОМИКОВ  1.08</t>
  </si>
  <si>
    <t>000008</t>
  </si>
  <si>
    <t xml:space="preserve">Основа горки (слоник) (1194х1377х21) (голубой)</t>
  </si>
  <si>
    <t xml:space="preserve">Фанера влагостойкая березовая. Толщина 21 мм. </t>
  </si>
  <si>
    <t>000009</t>
  </si>
  <si>
    <t xml:space="preserve">Накладка "ухо слона" (599х343х15) (серый)</t>
  </si>
  <si>
    <t xml:space="preserve">Болт мебельный М6х50 - 3 шт.                               Шайба м8 увел. - 3 шт.                    Гайка м6 - 3 шт        </t>
  </si>
  <si>
    <t xml:space="preserve">Фанера влагостойкая березовая. Толщина 15 мм. </t>
  </si>
  <si>
    <t>000010</t>
  </si>
  <si>
    <t xml:space="preserve">Накладка "бивень" (385х218х15) (серый)</t>
  </si>
  <si>
    <t xml:space="preserve">Болт мебельный М6х50 - 2 шт.                               Шайба м8 увел. - 2 шт.                    Гайка м6 - 2 шт        </t>
  </si>
  <si>
    <t>ЛЕСТНИЦА</t>
  </si>
  <si>
    <t>6</t>
  </si>
  <si>
    <t>000012</t>
  </si>
  <si>
    <t xml:space="preserve">Ступенька лесенки (612х150х18)</t>
  </si>
  <si>
    <t>противоскользящая</t>
  </si>
  <si>
    <t xml:space="preserve">Саморез по дереву 3.5х35 - 2 шт.</t>
  </si>
  <si>
    <t xml:space="preserve">Фанера с противоскользящим покрытие, толщиной 18 мм</t>
  </si>
  <si>
    <t>7</t>
  </si>
  <si>
    <t>0001ДБ</t>
  </si>
  <si>
    <t xml:space="preserve">Подступенок (доска 35х90х570)</t>
  </si>
  <si>
    <t xml:space="preserve">Саморез по дереву 3.5х45 - 4 шт.</t>
  </si>
  <si>
    <t xml:space="preserve">Брус строганный. Сосна. Сечением 35х90 мм.</t>
  </si>
  <si>
    <t>8</t>
  </si>
  <si>
    <t>000011</t>
  </si>
  <si>
    <t xml:space="preserve">Площадка(612х275х18) </t>
  </si>
  <si>
    <t xml:space="preserve">ГОРКА С ВЫСОТЫ 600 мм</t>
  </si>
  <si>
    <t>ФАНЕРА</t>
  </si>
  <si>
    <t>000013</t>
  </si>
  <si>
    <t xml:space="preserve">Борт левый (горка 600)
1406 x 402 x 21 </t>
  </si>
  <si>
    <t xml:space="preserve">Болт мебельный М6х60 - 3 шт.                               Шайба м8 увел. - 3 шт.                             Гайка м6 - 3 шт        </t>
  </si>
  <si>
    <t>000014</t>
  </si>
  <si>
    <t xml:space="preserve">Борт правый (горка 600)
1406 x 402 x 21</t>
  </si>
  <si>
    <t>000015</t>
  </si>
  <si>
    <t xml:space="preserve">Вставка (горка 600)
1186 x 185 x 21 </t>
  </si>
  <si>
    <t>МЕТАЛЛ</t>
  </si>
  <si>
    <t xml:space="preserve">ЛИСТ НЕРЖАВЕЙКА 1,5 мм 1980х545 мм</t>
  </si>
  <si>
    <t xml:space="preserve">нержавеющая сталь толщиной 1,5 мм, Б.Пн.л.1,5 ГОСТ 19904-89</t>
  </si>
  <si>
    <t>0008МП</t>
  </si>
  <si>
    <t xml:space="preserve">Перемычка горки (506х80х30)</t>
  </si>
  <si>
    <t xml:space="preserve">Болт мебельный М6х50 - 4 шт.                               Шайба м8 увел. - 4 шт.                    Гайка м6 - 4 шт        </t>
  </si>
  <si>
    <t xml:space="preserve">Труба стальная профильным сечением 40х20х2,5 мм, Пластина металлическая толщиной 3 мм</t>
  </si>
  <si>
    <t>0006МП</t>
  </si>
  <si>
    <t xml:space="preserve">Крепление горки (506х70х50)</t>
  </si>
  <si>
    <t xml:space="preserve">Болт мебельный М6х50 - 2 шт.                               Болт мебельный М6х90 - 3 шт.                         Шайба м8 увел. - 5 шт.                    Гайка м6 - 5 шт        </t>
  </si>
  <si>
    <t xml:space="preserve">Пластина металлическая толщиной 3 мм</t>
  </si>
  <si>
    <t>0007МП</t>
  </si>
  <si>
    <t xml:space="preserve">Опора горки закладная(528х650х80)</t>
  </si>
  <si>
    <t xml:space="preserve">Пластина металлическая толщиной 3 мм, Труба стальная ВГП диаметр 26.8*2,8 мм</t>
  </si>
  <si>
    <t>9</t>
  </si>
  <si>
    <t>0009МП</t>
  </si>
  <si>
    <t xml:space="preserve">Поучень горки 570 мм</t>
  </si>
  <si>
    <t xml:space="preserve">Болт мебельный М6х40 - 4 шт.                               Шайба м8 увел. - 4 шт.                    Гайка м6 - 4 шт        </t>
  </si>
  <si>
    <t>ПЛАСТИК</t>
  </si>
  <si>
    <t>10</t>
  </si>
  <si>
    <t>КЧМ6КС</t>
  </si>
  <si>
    <t xml:space="preserve">Заглушка пластиковая на болт М6 (черные)</t>
  </si>
  <si>
    <t>Черный</t>
  </si>
  <si>
    <t>Полипропилен</t>
  </si>
  <si>
    <t>11</t>
  </si>
  <si>
    <t>КЧМ8КС</t>
  </si>
  <si>
    <t xml:space="preserve">Заглушка пластиковая на болт М8-10 (черные)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</si>
</sst>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0" formatCode="_-* #,##0.00\ _₽_-;\-* #,##0.00\ _₽_-;_-* &quot;-&quot;??\ _₽_-;_-@_-"/>
    <numFmt numFmtId="161" formatCode="_-* #,##0.0000\ _₽_-;\-* #,##0.0000\ _₽_-;_-* &quot;-&quot;??\ _₽_-;_-@_-"/>
    <numFmt numFmtId="162" formatCode="0.000"/>
    <numFmt numFmtId="163" formatCode="0.00000"/>
  </numFmts>
  <fonts count="20">
    <font>
      <sz val="11.000000"/>
      <color theme="1"/>
      <name val="Calibri"/>
      <scheme val="minor"/>
    </font>
    <font>
      <i/>
      <sz val="10.000000"/>
      <color theme="1"/>
      <name val="Arial"/>
    </font>
    <font>
      <sz val="12.000000"/>
      <color theme="1"/>
      <name val="Arial"/>
    </font>
    <font>
      <b/>
      <sz val="16.000000"/>
      <color theme="1"/>
      <name val="Calibri"/>
      <scheme val="minor"/>
    </font>
    <font>
      <b/>
      <sz val="12.000000"/>
      <color theme="1"/>
      <name val="Calibri"/>
      <scheme val="minor"/>
    </font>
    <font>
      <b/>
      <sz val="11.000000"/>
      <color theme="1"/>
      <name val="Calibri"/>
      <scheme val="minor"/>
    </font>
    <font>
      <i/>
      <sz val="11.000000"/>
      <color theme="1"/>
      <name val="Arial"/>
    </font>
    <font>
      <b/>
      <i/>
      <sz val="11.000000"/>
      <color theme="1"/>
      <name val="Arial"/>
    </font>
    <font>
      <sz val="10.000000"/>
      <color theme="1"/>
      <name val="Arial"/>
    </font>
    <font>
      <i/>
      <sz val="9.000000"/>
      <color theme="1"/>
      <name val="Arial"/>
    </font>
    <font>
      <i/>
      <sz val="12.000000"/>
      <color theme="1"/>
      <name val="Arial"/>
    </font>
    <font>
      <b/>
      <sz val="16.000000"/>
      <color theme="1"/>
      <name val="Arial"/>
    </font>
    <font>
      <sz val="12.000000"/>
      <color theme="0"/>
      <name val="Arial"/>
    </font>
    <font>
      <i/>
      <sz val="11.000000"/>
      <color theme="0"/>
      <name val="Arial"/>
    </font>
    <font>
      <sz val="11.000000"/>
      <color theme="0"/>
      <name val="Arial"/>
    </font>
    <font>
      <b/>
      <sz val="11.000000"/>
      <color theme="1"/>
      <name val="Arial"/>
    </font>
    <font>
      <b/>
      <sz val="9.000000"/>
      <color theme="1"/>
      <name val="Calibri"/>
      <scheme val="minor"/>
    </font>
    <font>
      <b/>
      <i/>
      <sz val="9.000000"/>
      <color theme="1"/>
      <name val="Arial"/>
    </font>
    <font>
      <sz val="11.000000"/>
      <color theme="1"/>
      <name val="Arial"/>
    </font>
    <font>
      <sz val="9.000000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theme="8" tint="0.59999389629810485"/>
      </patternFill>
    </fill>
    <fill>
      <patternFill patternType="solid">
        <fgColor indexed="5"/>
        <bgColor indexed="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rgb="FF00B0F0"/>
      </patternFill>
    </fill>
    <fill>
      <patternFill patternType="solid">
        <fgColor rgb="FF663300"/>
        <bgColor rgb="FF663300"/>
      </patternFill>
    </fill>
    <fill>
      <patternFill patternType="solid">
        <fgColor theme="9" tint="0.39997558519241921"/>
        <bgColor theme="9" tint="0.39997558519241921"/>
      </patternFill>
    </fill>
  </fills>
  <borders count="35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none"/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160" applyNumberFormat="1" applyFont="0" applyFill="0" applyBorder="0" applyProtection="0"/>
  </cellStyleXfs>
  <cellXfs count="121">
    <xf fontId="0" fillId="0" borderId="0" numFmtId="0" xfId="0"/>
    <xf fontId="0" fillId="0" borderId="0" numFmtId="0" xfId="0" applyAlignment="1">
      <alignment horizontal="center"/>
    </xf>
    <xf fontId="1" fillId="0" borderId="0" numFmtId="0" xfId="0" applyFont="1" applyAlignment="1">
      <alignment horizontal="left" indent="1"/>
    </xf>
    <xf fontId="0" fillId="0" borderId="0" numFmtId="0" xfId="0" applyAlignment="1">
      <alignment horizontal="center" vertical="center"/>
    </xf>
    <xf fontId="0" fillId="0" borderId="0" numFmtId="161" xfId="1" applyNumberFormat="1"/>
    <xf fontId="2" fillId="0" borderId="0" numFmtId="0" xfId="0" applyFont="1"/>
    <xf fontId="3" fillId="2" borderId="1" numFmtId="0" xfId="0" applyFont="1" applyFill="1" applyBorder="1" applyAlignment="1">
      <alignment horizontal="center" vertical="center"/>
    </xf>
    <xf fontId="3" fillId="2" borderId="2" numFmtId="0" xfId="0" applyFont="1" applyFill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5" fillId="0" borderId="0" numFmtId="0" xfId="0" applyFont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8" numFmtId="0" xfId="0" applyFont="1" applyBorder="1" applyAlignment="1">
      <alignment horizontal="center" vertical="center"/>
    </xf>
    <xf fontId="5" fillId="0" borderId="9" numFmtId="0" xfId="0" applyFont="1" applyBorder="1" applyAlignment="1">
      <alignment horizontal="center" vertical="center"/>
    </xf>
    <xf fontId="5" fillId="0" borderId="10" numFmtId="0" xfId="0" applyFont="1" applyBorder="1" applyAlignment="1">
      <alignment horizontal="center" vertical="center"/>
    </xf>
    <xf fontId="6" fillId="0" borderId="11" numFmtId="0" xfId="0" applyFont="1" applyBorder="1"/>
    <xf fontId="6" fillId="0" borderId="12" numFmtId="0" xfId="0" applyFont="1" applyBorder="1" applyAlignment="1">
      <alignment horizontal="center" vertical="center"/>
    </xf>
    <xf fontId="6" fillId="0" borderId="13" numFmtId="0" xfId="0" applyFont="1" applyBorder="1" applyAlignment="1">
      <alignment horizontal="center" vertical="center"/>
    </xf>
    <xf fontId="6" fillId="0" borderId="13" numFmtId="0" xfId="0" applyFont="1" applyBorder="1" applyAlignment="1">
      <alignment horizontal="center" vertical="center" wrapText="1"/>
    </xf>
    <xf fontId="6" fillId="0" borderId="14" numFmtId="161" xfId="1" applyNumberFormat="1" applyFont="1" applyBorder="1" applyAlignment="1">
      <alignment horizontal="center" vertical="center" wrapText="1"/>
    </xf>
    <xf fontId="6" fillId="0" borderId="15" numFmtId="0" xfId="0" applyFont="1" applyBorder="1" applyAlignment="1">
      <alignment horizontal="center" vertical="center" wrapText="1"/>
    </xf>
    <xf fontId="1" fillId="0" borderId="15" numFmtId="0" xfId="0" applyFont="1" applyBorder="1" applyAlignment="1">
      <alignment horizontal="center" vertical="center" wrapText="1"/>
    </xf>
    <xf fontId="6" fillId="0" borderId="16" numFmtId="0" xfId="0" applyFont="1" applyBorder="1" applyAlignment="1">
      <alignment horizontal="center" vertical="center" wrapText="1"/>
    </xf>
    <xf fontId="7" fillId="0" borderId="17" numFmtId="0" xfId="0" applyFont="1" applyBorder="1" applyAlignment="1">
      <alignment horizontal="center" vertical="center" wrapText="1"/>
    </xf>
    <xf fontId="6" fillId="0" borderId="17" numFmtId="0" xfId="0" applyFont="1" applyBorder="1" applyAlignment="1">
      <alignment horizontal="center" vertical="center" wrapText="1"/>
    </xf>
    <xf fontId="2" fillId="0" borderId="17" numFmtId="0" xfId="0" applyFont="1" applyBorder="1" applyAlignment="1">
      <alignment horizontal="center" vertical="center"/>
    </xf>
    <xf fontId="6" fillId="0" borderId="5" numFmtId="0" xfId="0" applyFont="1" applyBorder="1"/>
    <xf fontId="7" fillId="3" borderId="12" numFmtId="0" xfId="0" applyFont="1" applyFill="1" applyBorder="1" applyAlignment="1">
      <alignment horizontal="center" vertical="center"/>
    </xf>
    <xf fontId="7" fillId="3" borderId="13" numFmtId="0" xfId="0" applyFont="1" applyFill="1" applyBorder="1" applyAlignment="1">
      <alignment horizontal="center" vertical="center"/>
    </xf>
    <xf fontId="7" fillId="3" borderId="14" numFmtId="0" xfId="0" applyFont="1" applyFill="1" applyBorder="1" applyAlignment="1">
      <alignment horizontal="center" vertical="center"/>
    </xf>
    <xf fontId="6" fillId="0" borderId="18" numFmtId="0" xfId="0" applyFont="1" applyBorder="1"/>
    <xf fontId="6" fillId="0" borderId="19" numFmtId="0" xfId="0" applyFont="1" applyBorder="1"/>
    <xf fontId="6" fillId="0" borderId="16" numFmtId="0" xfId="0" applyFont="1" applyBorder="1"/>
    <xf fontId="6" fillId="0" borderId="17" numFmtId="0" xfId="0" applyFont="1" applyBorder="1"/>
    <xf fontId="6" fillId="0" borderId="17" numFmtId="0" xfId="0" applyFont="1" applyBorder="1" applyAlignment="1">
      <alignment horizontal="center" vertical="center"/>
    </xf>
    <xf fontId="2" fillId="0" borderId="17" numFmtId="0" xfId="0" applyFont="1" applyBorder="1"/>
    <xf fontId="8" fillId="0" borderId="0" numFmtId="0" xfId="0" applyFont="1" applyAlignment="1">
      <alignment horizontal="center" vertical="center" wrapText="1"/>
    </xf>
    <xf fontId="7" fillId="0" borderId="1" numFmtId="0" xfId="0" applyFont="1" applyBorder="1" applyAlignment="1">
      <alignment horizontal="center" textRotation="90" vertical="center" wrapText="1"/>
    </xf>
    <xf fontId="6" fillId="0" borderId="20" numFmtId="0" xfId="0" applyFont="1" applyBorder="1" applyAlignment="1">
      <alignment horizontal="center" vertical="center" wrapText="1"/>
    </xf>
    <xf fontId="6" fillId="0" borderId="20" numFmtId="49" xfId="0" applyNumberFormat="1" applyFont="1" applyBorder="1" applyAlignment="1">
      <alignment horizontal="center" vertical="center" wrapText="1"/>
    </xf>
    <xf fontId="6" fillId="0" borderId="20" numFmtId="0" xfId="0" applyFont="1" applyBorder="1" applyAlignment="1">
      <alignment horizontal="left" indent="1" vertical="center" wrapText="1"/>
    </xf>
    <xf fontId="6" fillId="0" borderId="20" numFmtId="0" xfId="0" applyFont="1" applyBorder="1" applyAlignment="1">
      <alignment vertical="center" wrapText="1"/>
    </xf>
    <xf fontId="6" fillId="4" borderId="17" numFmtId="0" xfId="0" applyFont="1" applyFill="1" applyBorder="1" applyAlignment="1">
      <alignment horizontal="center" vertical="center"/>
    </xf>
    <xf fontId="6" fillId="0" borderId="21" numFmtId="162" xfId="0" applyNumberFormat="1" applyFont="1" applyBorder="1" applyAlignment="1">
      <alignment horizontal="center" vertical="center" wrapText="1"/>
    </xf>
    <xf fontId="6" fillId="0" borderId="22" numFmtId="162" xfId="0" applyNumberFormat="1" applyFont="1" applyBorder="1" applyAlignment="1">
      <alignment horizontal="center" vertical="center" wrapText="1"/>
    </xf>
    <xf fontId="9" fillId="0" borderId="19" numFmtId="162" xfId="0" applyNumberFormat="1" applyFont="1" applyBorder="1" applyAlignment="1">
      <alignment horizontal="center" vertical="center" wrapText="1"/>
    </xf>
    <xf fontId="6" fillId="0" borderId="23" numFmtId="0" xfId="0" applyFont="1" applyBorder="1" applyAlignment="1">
      <alignment horizontal="center" vertical="center" wrapText="1"/>
    </xf>
    <xf fontId="2" fillId="0" borderId="17" numFmtId="0" xfId="0" applyFont="1" applyBorder="1" applyAlignment="1">
      <alignment horizontal="center" vertical="center" wrapText="1"/>
    </xf>
    <xf fontId="7" fillId="0" borderId="24" numFmtId="0" xfId="0" applyFont="1" applyBorder="1" applyAlignment="1">
      <alignment horizontal="center" textRotation="90" vertical="center" wrapText="1"/>
    </xf>
    <xf fontId="6" fillId="0" borderId="17" numFmtId="49" xfId="0" applyNumberFormat="1" applyFont="1" applyBorder="1" applyAlignment="1">
      <alignment horizontal="center" vertical="center" wrapText="1"/>
    </xf>
    <xf fontId="10" fillId="0" borderId="17" numFmtId="0" xfId="0" applyFont="1" applyBorder="1" applyAlignment="1">
      <alignment horizontal="center" vertical="center" wrapText="1"/>
    </xf>
    <xf fontId="6" fillId="0" borderId="25" numFmtId="162" xfId="0" applyNumberFormat="1" applyFont="1" applyBorder="1" applyAlignment="1">
      <alignment horizontal="center" vertical="center" wrapText="1"/>
    </xf>
    <xf fontId="6" fillId="0" borderId="26" numFmtId="0" xfId="0" applyFont="1" applyBorder="1"/>
    <xf fontId="7" fillId="3" borderId="11" numFmtId="0" xfId="0" applyFont="1" applyFill="1" applyBorder="1" applyAlignment="1">
      <alignment horizontal="center" vertical="center"/>
    </xf>
    <xf fontId="7" fillId="3" borderId="27" numFmtId="0" xfId="0" applyFont="1" applyFill="1" applyBorder="1" applyAlignment="1">
      <alignment horizontal="center" vertical="center"/>
    </xf>
    <xf fontId="7" fillId="3" borderId="28" numFmtId="0" xfId="0" applyFont="1" applyFill="1" applyBorder="1" applyAlignment="1">
      <alignment horizontal="center" vertical="center"/>
    </xf>
    <xf fontId="6" fillId="0" borderId="19" numFmtId="162" xfId="0" applyNumberFormat="1" applyFont="1" applyBorder="1" applyAlignment="1">
      <alignment horizontal="center" vertical="center" wrapText="1"/>
    </xf>
    <xf fontId="7" fillId="0" borderId="16" numFmtId="0" xfId="0" applyFont="1" applyBorder="1" applyAlignment="1">
      <alignment vertical="center"/>
    </xf>
    <xf fontId="7" fillId="0" borderId="17" numFmtId="0" xfId="0" applyFont="1" applyBorder="1" applyAlignment="1">
      <alignment horizontal="center" vertical="center"/>
    </xf>
    <xf fontId="11" fillId="3" borderId="1" numFmtId="0" xfId="0" applyFont="1" applyFill="1" applyBorder="1" applyAlignment="1">
      <alignment horizontal="center" textRotation="90" vertical="center" wrapText="1"/>
    </xf>
    <xf fontId="6" fillId="0" borderId="2" numFmtId="0" xfId="0" applyFont="1" applyBorder="1" applyAlignment="1">
      <alignment horizontal="center" vertical="center" wrapText="1"/>
    </xf>
    <xf fontId="6" fillId="0" borderId="2" numFmtId="49" xfId="0" applyNumberFormat="1" applyFont="1" applyBorder="1" applyAlignment="1">
      <alignment horizontal="center" vertical="center" wrapText="1"/>
    </xf>
    <xf fontId="12" fillId="5" borderId="17" numFmtId="0" xfId="0" applyFont="1" applyFill="1" applyBorder="1" applyAlignment="1">
      <alignment horizontal="center" vertical="center" wrapText="1"/>
    </xf>
    <xf fontId="6" fillId="0" borderId="29" numFmtId="162" xfId="0" applyNumberFormat="1" applyFont="1" applyBorder="1" applyAlignment="1">
      <alignment horizontal="center" vertical="center" wrapText="1"/>
    </xf>
    <xf fontId="2" fillId="0" borderId="17" numFmtId="162" xfId="0" applyNumberFormat="1" applyFont="1" applyBorder="1" applyAlignment="1">
      <alignment horizontal="center" vertical="center" wrapText="1"/>
    </xf>
    <xf fontId="11" fillId="3" borderId="24" numFmtId="0" xfId="0" applyFont="1" applyFill="1" applyBorder="1" applyAlignment="1">
      <alignment horizontal="center" textRotation="90" vertical="center" wrapText="1"/>
    </xf>
    <xf fontId="11" fillId="3" borderId="30" numFmtId="0" xfId="0" applyFont="1" applyFill="1" applyBorder="1" applyAlignment="1">
      <alignment horizontal="center" textRotation="90" vertical="center" wrapText="1"/>
    </xf>
    <xf fontId="6" fillId="0" borderId="31" numFmtId="0" xfId="0" applyFont="1" applyBorder="1" applyAlignment="1">
      <alignment horizontal="center" vertical="center" wrapText="1"/>
    </xf>
    <xf fontId="6" fillId="0" borderId="22" numFmtId="0" xfId="0" applyFont="1" applyBorder="1"/>
    <xf fontId="6" fillId="0" borderId="24" numFmtId="49" xfId="0" applyNumberFormat="1" applyFont="1" applyBorder="1" applyAlignment="1">
      <alignment horizontal="center" vertical="center" wrapText="1"/>
    </xf>
    <xf fontId="13" fillId="6" borderId="17" numFmtId="0" xfId="0" applyFont="1" applyFill="1" applyBorder="1" applyAlignment="1">
      <alignment horizontal="center" vertical="center" wrapText="1"/>
    </xf>
    <xf fontId="14" fillId="6" borderId="17" numFmtId="0" xfId="0" applyFont="1" applyFill="1" applyBorder="1" applyAlignment="1">
      <alignment horizontal="center" vertical="center"/>
    </xf>
    <xf fontId="15" fillId="7" borderId="12" numFmtId="0" xfId="0" applyFont="1" applyFill="1" applyBorder="1" applyAlignment="1">
      <alignment horizontal="center" vertical="center"/>
    </xf>
    <xf fontId="15" fillId="7" borderId="13" numFmtId="0" xfId="0" applyFont="1" applyFill="1" applyBorder="1" applyAlignment="1">
      <alignment horizontal="center" vertical="center"/>
    </xf>
    <xf fontId="15" fillId="7" borderId="14" numFmtId="0" xfId="0" applyFont="1" applyFill="1" applyBorder="1" applyAlignment="1">
      <alignment horizontal="center" vertical="center"/>
    </xf>
    <xf fontId="8" fillId="0" borderId="19" numFmtId="162" xfId="0" applyNumberFormat="1" applyFont="1" applyBorder="1" applyAlignment="1">
      <alignment horizontal="center" vertical="center" wrapText="1"/>
    </xf>
    <xf fontId="16" fillId="0" borderId="19" numFmtId="0" xfId="0" applyFont="1" applyBorder="1" applyAlignment="1">
      <alignment horizontal="center" vertical="center"/>
    </xf>
    <xf fontId="0" fillId="0" borderId="16" numFmtId="0" xfId="0" applyBorder="1"/>
    <xf fontId="0" fillId="0" borderId="17" numFmtId="0" xfId="0" applyBorder="1" applyAlignment="1">
      <alignment horizontal="center" vertical="center"/>
    </xf>
    <xf fontId="17" fillId="0" borderId="19" numFmtId="0" xfId="0" applyFont="1" applyBorder="1" applyAlignment="1">
      <alignment horizontal="center" vertical="center"/>
    </xf>
    <xf fontId="15" fillId="3" borderId="24" numFmtId="0" xfId="0" applyFont="1" applyFill="1" applyBorder="1" applyAlignment="1">
      <alignment horizontal="center" textRotation="90" vertical="center" wrapText="1"/>
    </xf>
    <xf fontId="6" fillId="7" borderId="20" numFmtId="0" xfId="0" applyFont="1" applyFill="1" applyBorder="1" applyAlignment="1">
      <alignment horizontal="center" vertical="center" wrapText="1"/>
    </xf>
    <xf fontId="18" fillId="0" borderId="21" numFmtId="162" xfId="0" applyNumberFormat="1" applyFont="1" applyBorder="1" applyAlignment="1">
      <alignment horizontal="center" vertical="center" wrapText="1"/>
    </xf>
    <xf fontId="6" fillId="7" borderId="17" numFmtId="0" xfId="0" applyFont="1" applyFill="1" applyBorder="1" applyAlignment="1">
      <alignment horizontal="center" vertical="center" wrapText="1"/>
    </xf>
    <xf fontId="6" fillId="0" borderId="17" numFmtId="0" xfId="0" applyFont="1" applyBorder="1" applyAlignment="1">
      <alignment horizontal="left" indent="1" vertical="center" wrapText="1"/>
    </xf>
    <xf fontId="6" fillId="0" borderId="17" numFmtId="0" xfId="0" applyFont="1" applyBorder="1" applyAlignment="1">
      <alignment vertical="center" wrapText="1"/>
    </xf>
    <xf fontId="18" fillId="0" borderId="25" numFmtId="162" xfId="0" applyNumberFormat="1" applyFont="1" applyBorder="1" applyAlignment="1">
      <alignment horizontal="center" vertical="center" wrapText="1"/>
    </xf>
    <xf fontId="19" fillId="0" borderId="19" numFmtId="162" xfId="0" applyNumberFormat="1" applyFont="1" applyBorder="1" applyAlignment="1">
      <alignment horizontal="center" vertical="center" wrapText="1"/>
    </xf>
    <xf fontId="6" fillId="7" borderId="24" numFmtId="0" xfId="0" applyFont="1" applyFill="1" applyBorder="1"/>
    <xf fontId="7" fillId="7" borderId="20" numFmtId="0" xfId="0" applyFont="1" applyFill="1" applyBorder="1" applyAlignment="1">
      <alignment horizontal="center" vertical="center"/>
    </xf>
    <xf fontId="7" fillId="0" borderId="20" numFmtId="0" xfId="0" applyFont="1" applyBorder="1" applyAlignment="1">
      <alignment horizontal="center" vertical="center"/>
    </xf>
    <xf fontId="7" fillId="0" borderId="20" numFmtId="0" xfId="0" applyFont="1" applyBorder="1" applyAlignment="1">
      <alignment horizontal="center" vertical="center" wrapText="1"/>
    </xf>
    <xf fontId="15" fillId="7" borderId="24" numFmtId="0" xfId="0" applyFont="1" applyFill="1" applyBorder="1" applyAlignment="1">
      <alignment horizontal="center" textRotation="90" vertical="center" wrapText="1"/>
    </xf>
    <xf fontId="18" fillId="4" borderId="17" numFmtId="0" xfId="0" applyFont="1" applyFill="1" applyBorder="1" applyAlignment="1">
      <alignment horizontal="center" vertical="center"/>
    </xf>
    <xf fontId="15" fillId="7" borderId="32" numFmtId="0" xfId="0" applyFont="1" applyFill="1" applyBorder="1" applyAlignment="1">
      <alignment horizontal="center" textRotation="90" vertical="center" wrapText="1"/>
    </xf>
    <xf fontId="6" fillId="7" borderId="23" numFmtId="0" xfId="0" applyFont="1" applyFill="1" applyBorder="1" applyAlignment="1">
      <alignment horizontal="center" vertical="center" wrapText="1"/>
    </xf>
    <xf fontId="6" fillId="0" borderId="23" numFmtId="49" xfId="0" applyNumberFormat="1" applyFont="1" applyBorder="1" applyAlignment="1">
      <alignment horizontal="center" vertical="center" wrapText="1"/>
    </xf>
    <xf fontId="6" fillId="0" borderId="23" numFmtId="0" xfId="0" applyFont="1" applyBorder="1" applyAlignment="1">
      <alignment horizontal="left" indent="1" vertical="center" wrapText="1"/>
    </xf>
    <xf fontId="6" fillId="0" borderId="23" numFmtId="0" xfId="0" applyFont="1" applyBorder="1" applyAlignment="1">
      <alignment vertical="center" wrapText="1"/>
    </xf>
    <xf fontId="18" fillId="4" borderId="23" numFmtId="0" xfId="0" applyFont="1" applyFill="1" applyBorder="1" applyAlignment="1">
      <alignment horizontal="center" vertical="center"/>
    </xf>
    <xf fontId="18" fillId="0" borderId="33" numFmtId="162" xfId="0" applyNumberFormat="1" applyFont="1" applyBorder="1" applyAlignment="1">
      <alignment horizontal="center" vertical="center" wrapText="1"/>
    </xf>
    <xf fontId="7" fillId="3" borderId="11" numFmtId="0" xfId="0" applyFont="1" applyFill="1" applyBorder="1" applyAlignment="1">
      <alignment horizontal="center" vertical="center" wrapText="1"/>
    </xf>
    <xf fontId="7" fillId="3" borderId="27" numFmtId="0" xfId="0" applyFont="1" applyFill="1" applyBorder="1" applyAlignment="1">
      <alignment horizontal="center" vertical="center" wrapText="1"/>
    </xf>
    <xf fontId="7" fillId="3" borderId="28" numFmtId="0" xfId="0" applyFont="1" applyFill="1" applyBorder="1" applyAlignment="1">
      <alignment horizontal="center" vertical="center" wrapText="1"/>
    </xf>
    <xf fontId="7" fillId="0" borderId="16" numFmtId="0" xfId="0" applyFont="1" applyBorder="1" applyAlignment="1">
      <alignment vertical="center" wrapText="1"/>
    </xf>
    <xf fontId="6" fillId="0" borderId="30" numFmtId="49" xfId="0" applyNumberFormat="1" applyFont="1" applyBorder="1" applyAlignment="1">
      <alignment horizontal="center" vertical="center" wrapText="1"/>
    </xf>
    <xf fontId="6" fillId="0" borderId="31" numFmtId="49" xfId="0" applyNumberFormat="1" applyFont="1" applyBorder="1" applyAlignment="1">
      <alignment horizontal="center" vertical="center" wrapText="1"/>
    </xf>
    <xf fontId="6" fillId="0" borderId="31" numFmtId="0" xfId="0" applyFont="1" applyBorder="1" applyAlignment="1">
      <alignment vertical="center" wrapText="1"/>
    </xf>
    <xf fontId="6" fillId="4" borderId="31" numFmtId="0" xfId="0" applyFont="1" applyFill="1" applyBorder="1" applyAlignment="1">
      <alignment horizontal="center" vertical="center"/>
    </xf>
    <xf fontId="6" fillId="0" borderId="34" numFmtId="0" xfId="0" applyFont="1" applyBorder="1" applyAlignment="1">
      <alignment horizontal="center" vertical="center"/>
    </xf>
    <xf fontId="6" fillId="0" borderId="2" numFmtId="0" xfId="0" applyFont="1" applyBorder="1" applyAlignment="1">
      <alignment horizontal="left" indent="1" vertical="center" wrapText="1"/>
    </xf>
    <xf fontId="7" fillId="0" borderId="2" numFmtId="0" xfId="0" applyFont="1" applyBorder="1" applyAlignment="1">
      <alignment horizontal="center" vertical="center"/>
    </xf>
    <xf fontId="6" fillId="0" borderId="2" numFmtId="0" xfId="0" applyFont="1" applyBorder="1"/>
    <xf fontId="6" fillId="0" borderId="2" numFmtId="0" xfId="0" applyFont="1" applyBorder="1" applyAlignment="1">
      <alignment horizontal="center" vertical="center"/>
    </xf>
    <xf fontId="6" fillId="0" borderId="29" numFmtId="163" xfId="1" applyNumberFormat="1" applyFont="1" applyBorder="1" applyAlignment="1">
      <alignment horizontal="center" vertical="center"/>
    </xf>
    <xf fontId="6" fillId="0" borderId="22" numFmtId="0" xfId="0" applyFont="1" applyBorder="1" applyAlignment="1">
      <alignment horizontal="center" vertical="center"/>
    </xf>
    <xf fontId="6" fillId="0" borderId="25" numFmtId="163" xfId="1" applyNumberFormat="1" applyFont="1" applyBorder="1" applyAlignment="1">
      <alignment horizontal="center" vertical="center"/>
    </xf>
    <xf fontId="0" fillId="0" borderId="15" numFmtId="162" xfId="0" applyNumberFormat="1" applyBorder="1" applyAlignment="1">
      <alignment horizontal="center" vertical="center"/>
    </xf>
    <xf fontId="0" fillId="0" borderId="0" numFmtId="162" xfId="0" applyNumberForma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6" Type="http://schemas.openxmlformats.org/officeDocument/2006/relationships/styles" Target="styles.xml"/><Relationship  Id="rId5" Type="http://schemas.openxmlformats.org/officeDocument/2006/relationships/sharedStrings" Target="sharedStrings.xml"/><Relationship  Id="rId4" Type="http://schemas.openxmlformats.org/officeDocument/2006/relationships/theme" Target="theme/theme1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jpg"/><Relationship Id="rId5" Type="http://schemas.openxmlformats.org/officeDocument/2006/relationships/image" Target="../media/image5.jpg"/><Relationship Id="rId6" Type="http://schemas.openxmlformats.org/officeDocument/2006/relationships/image" Target="../media/image6.jpg"/><Relationship Id="rId7" Type="http://schemas.openxmlformats.org/officeDocument/2006/relationships/image" Target="../media/image7.jpg"/><Relationship Id="rId8" Type="http://schemas.openxmlformats.org/officeDocument/2006/relationships/image" Target="../media/image8.jpg"/><Relationship Id="rId9" Type="http://schemas.openxmlformats.org/officeDocument/2006/relationships/image" Target="../media/image9.emf"/><Relationship Id="rId10" Type="http://schemas.openxmlformats.org/officeDocument/2006/relationships/image" Target="../media/image10.emf"/><Relationship Id="rId11" Type="http://schemas.openxmlformats.org/officeDocument/2006/relationships/image" Target="../media/image11.emf"/><Relationship Id="rId12" Type="http://schemas.openxmlformats.org/officeDocument/2006/relationships/image" Target="../media/image12.emf"/><Relationship Id="rId13" Type="http://schemas.openxmlformats.org/officeDocument/2006/relationships/image" Target="../media/image13.emf"/><Relationship Id="rId14" Type="http://schemas.openxmlformats.org/officeDocument/2006/relationships/image" Target="../media/image14.emf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emf"/><Relationship Id="rId18" Type="http://schemas.openxmlformats.org/officeDocument/2006/relationships/image" Target="../media/image18.emf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5</xdr:col>
      <xdr:colOff>149679</xdr:colOff>
      <xdr:row>27</xdr:row>
      <xdr:rowOff>54428</xdr:rowOff>
    </xdr:from>
    <xdr:to>
      <xdr:col>5</xdr:col>
      <xdr:colOff>1588168</xdr:colOff>
      <xdr:row>27</xdr:row>
      <xdr:rowOff>864053</xdr:rowOff>
    </xdr:to>
    <xdr:pic>
      <xdr:nvPicPr>
        <xdr:cNvPr id="21" name="Picture 10"/>
        <xdr:cNvPicPr>
          <a:picLocks noChangeAspect="1" noChangeArrowheads="1"/>
        </xdr:cNvPicPr>
      </xdr:nvPicPr>
      <xdr:blipFill>
        <a:blip r:embed="rId1"/>
        <a:srcRect l="13542" t="30565" r="65729" b="29900"/>
        <a:stretch/>
      </xdr:blipFill>
      <xdr:spPr bwMode="auto">
        <a:xfrm>
          <a:off x="5279572" y="33255857"/>
          <a:ext cx="1438489" cy="809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593109</xdr:colOff>
      <xdr:row>29</xdr:row>
      <xdr:rowOff>40822</xdr:rowOff>
    </xdr:from>
    <xdr:to>
      <xdr:col>5</xdr:col>
      <xdr:colOff>1192773</xdr:colOff>
      <xdr:row>29</xdr:row>
      <xdr:rowOff>645939</xdr:rowOff>
    </xdr:to>
    <xdr:pic>
      <xdr:nvPicPr>
        <xdr:cNvPr id="27" name="Picture 2"/>
        <xdr:cNvPicPr>
          <a:picLocks noChangeAspect="1" noChangeArrowheads="1"/>
        </xdr:cNvPicPr>
      </xdr:nvPicPr>
      <xdr:blipFill>
        <a:blip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723003" y="40603715"/>
          <a:ext cx="599663" cy="6051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400210</xdr:colOff>
      <xdr:row>30</xdr:row>
      <xdr:rowOff>32339</xdr:rowOff>
    </xdr:from>
    <xdr:to>
      <xdr:col>5</xdr:col>
      <xdr:colOff>1233076</xdr:colOff>
      <xdr:row>30</xdr:row>
      <xdr:rowOff>837322</xdr:rowOff>
    </xdr:to>
    <xdr:pic>
      <xdr:nvPicPr>
        <xdr:cNvPr id="32" name="Picture 2"/>
        <xdr:cNvPicPr>
          <a:picLocks noChangeAspect="1" noChangeArrowheads="1"/>
        </xdr:cNvPicPr>
      </xdr:nvPicPr>
      <xdr:blipFill>
        <a:blip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530103" y="41343625"/>
          <a:ext cx="832866" cy="80498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31</xdr:row>
      <xdr:rowOff>0</xdr:rowOff>
    </xdr:from>
    <xdr:to>
      <xdr:col>11</xdr:col>
      <xdr:colOff>9372</xdr:colOff>
      <xdr:row>31</xdr:row>
      <xdr:rowOff>233951</xdr:rowOff>
    </xdr:to>
    <xdr:pic>
      <xdr:nvPicPr>
        <xdr:cNvPr id="33" name="Picture 9"/>
        <xdr:cNvPicPr>
          <a:picLocks noChangeAspect="1" noChangeArrowheads="1"/>
        </xdr:cNvPicPr>
      </xdr:nvPicPr>
      <xdr:blipFill>
        <a:blip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31013400"/>
          <a:ext cx="2614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31</xdr:row>
      <xdr:rowOff>0</xdr:rowOff>
    </xdr:from>
    <xdr:to>
      <xdr:col>11</xdr:col>
      <xdr:colOff>9372</xdr:colOff>
      <xdr:row>31</xdr:row>
      <xdr:rowOff>233951</xdr:rowOff>
    </xdr:to>
    <xdr:pic>
      <xdr:nvPicPr>
        <xdr:cNvPr id="34" name="Picture 9"/>
        <xdr:cNvPicPr>
          <a:picLocks noChangeAspect="1" noChangeArrowheads="1"/>
        </xdr:cNvPicPr>
      </xdr:nvPicPr>
      <xdr:blipFill>
        <a:blip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31013400"/>
          <a:ext cx="2614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228847</xdr:colOff>
      <xdr:row>13</xdr:row>
      <xdr:rowOff>85354</xdr:rowOff>
    </xdr:from>
    <xdr:to>
      <xdr:col>5</xdr:col>
      <xdr:colOff>1513642</xdr:colOff>
      <xdr:row>13</xdr:row>
      <xdr:rowOff>534390</xdr:rowOff>
    </xdr:to>
    <xdr:pic>
      <xdr:nvPicPr>
        <xdr:cNvPr id="41" name="Рисунок 40" descr="Пол мостика 1500.jpg"/>
        <xdr:cNvPicPr>
          <a:picLocks noChangeAspect="1"/>
        </xdr:cNvPicPr>
      </xdr:nvPicPr>
      <xdr:blipFill>
        <a:blip r:embed="rId4"/>
        <a:stretch/>
      </xdr:blipFill>
      <xdr:spPr bwMode="auto">
        <a:xfrm>
          <a:off x="5372347" y="12138808"/>
          <a:ext cx="1284794" cy="449036"/>
        </a:xfrm>
        <a:prstGeom prst="rect">
          <a:avLst/>
        </a:prstGeom>
      </xdr:spPr>
    </xdr:pic>
    <xdr:clientData/>
  </xdr:twoCellAnchor>
  <xdr:twoCellAnchor editAs="twoCell">
    <xdr:from>
      <xdr:col>5</xdr:col>
      <xdr:colOff>240903</xdr:colOff>
      <xdr:row>18</xdr:row>
      <xdr:rowOff>81252</xdr:rowOff>
    </xdr:from>
    <xdr:to>
      <xdr:col>5</xdr:col>
      <xdr:colOff>1621145</xdr:colOff>
      <xdr:row>18</xdr:row>
      <xdr:rowOff>1120296</xdr:rowOff>
    </xdr:to>
    <xdr:pic>
      <xdr:nvPicPr>
        <xdr:cNvPr id="44" name="Picture 10"/>
        <xdr:cNvPicPr>
          <a:picLocks noChangeAspect="1" noChangeArrowheads="1"/>
        </xdr:cNvPicPr>
      </xdr:nvPicPr>
      <xdr:blipFill>
        <a:blip r:embed="rId5"/>
        <a:stretch/>
      </xdr:blipFill>
      <xdr:spPr bwMode="auto">
        <a:xfrm>
          <a:off x="5098653" y="90844977"/>
          <a:ext cx="1380242" cy="103904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171630</xdr:colOff>
      <xdr:row>19</xdr:row>
      <xdr:rowOff>92458</xdr:rowOff>
    </xdr:from>
    <xdr:to>
      <xdr:col>5</xdr:col>
      <xdr:colOff>1551872</xdr:colOff>
      <xdr:row>19</xdr:row>
      <xdr:rowOff>1131502</xdr:rowOff>
    </xdr:to>
    <xdr:pic>
      <xdr:nvPicPr>
        <xdr:cNvPr id="45" name="Picture 10"/>
        <xdr:cNvPicPr>
          <a:picLocks noChangeAspect="1" noChangeArrowheads="1"/>
        </xdr:cNvPicPr>
      </xdr:nvPicPr>
      <xdr:blipFill>
        <a:blip r:embed="rId5"/>
        <a:stretch/>
      </xdr:blipFill>
      <xdr:spPr bwMode="auto">
        <a:xfrm flipH="1">
          <a:off x="5029380" y="92037282"/>
          <a:ext cx="1380242" cy="103904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146121</xdr:colOff>
      <xdr:row>20</xdr:row>
      <xdr:rowOff>91170</xdr:rowOff>
    </xdr:from>
    <xdr:to>
      <xdr:col>5</xdr:col>
      <xdr:colOff>1551714</xdr:colOff>
      <xdr:row>20</xdr:row>
      <xdr:rowOff>1059934</xdr:rowOff>
    </xdr:to>
    <xdr:pic>
      <xdr:nvPicPr>
        <xdr:cNvPr id="46" name="Picture 10"/>
        <xdr:cNvPicPr>
          <a:picLocks noChangeAspect="1" noChangeArrowheads="1"/>
        </xdr:cNvPicPr>
      </xdr:nvPicPr>
      <xdr:blipFill>
        <a:blip r:embed="rId6"/>
        <a:stretch/>
      </xdr:blipFill>
      <xdr:spPr bwMode="auto">
        <a:xfrm>
          <a:off x="5003871" y="93217095"/>
          <a:ext cx="1405593" cy="9687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144294</xdr:colOff>
      <xdr:row>23</xdr:row>
      <xdr:rowOff>85936</xdr:rowOff>
    </xdr:from>
    <xdr:to>
      <xdr:col>5</xdr:col>
      <xdr:colOff>1613622</xdr:colOff>
      <xdr:row>23</xdr:row>
      <xdr:rowOff>819509</xdr:rowOff>
    </xdr:to>
    <xdr:pic>
      <xdr:nvPicPr>
        <xdr:cNvPr id="47" name="Picture 10"/>
        <xdr:cNvPicPr>
          <a:picLocks noChangeAspect="1" noChangeArrowheads="1"/>
        </xdr:cNvPicPr>
      </xdr:nvPicPr>
      <xdr:blipFill>
        <a:blip r:embed="rId7"/>
        <a:srcRect l="0" t="21731" r="0" b="22305"/>
        <a:stretch/>
      </xdr:blipFill>
      <xdr:spPr bwMode="auto">
        <a:xfrm>
          <a:off x="5002043" y="96717061"/>
          <a:ext cx="1469328" cy="73357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305543</xdr:colOff>
      <xdr:row>24</xdr:row>
      <xdr:rowOff>106966</xdr:rowOff>
    </xdr:from>
    <xdr:to>
      <xdr:col>5</xdr:col>
      <xdr:colOff>1517530</xdr:colOff>
      <xdr:row>24</xdr:row>
      <xdr:rowOff>1085406</xdr:rowOff>
    </xdr:to>
    <xdr:pic>
      <xdr:nvPicPr>
        <xdr:cNvPr id="48" name="Picture 10"/>
        <xdr:cNvPicPr>
          <a:picLocks noChangeAspect="1" noChangeArrowheads="1"/>
        </xdr:cNvPicPr>
      </xdr:nvPicPr>
      <xdr:blipFill>
        <a:blip r:embed="rId8"/>
        <a:stretch/>
      </xdr:blipFill>
      <xdr:spPr bwMode="auto">
        <a:xfrm>
          <a:off x="5163294" y="97671541"/>
          <a:ext cx="1211986" cy="9784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159572</xdr:colOff>
      <xdr:row>25</xdr:row>
      <xdr:rowOff>76694</xdr:rowOff>
    </xdr:from>
    <xdr:to>
      <xdr:col>5</xdr:col>
      <xdr:colOff>1579664</xdr:colOff>
      <xdr:row>25</xdr:row>
      <xdr:rowOff>2256039</xdr:rowOff>
    </xdr:to>
    <xdr:pic>
      <xdr:nvPicPr>
        <xdr:cNvPr id="49" name="Picture 1"/>
        <xdr:cNvPicPr>
          <a:picLocks noChangeAspect="1" noChangeArrowheads="1"/>
        </xdr:cNvPicPr>
      </xdr:nvPicPr>
      <xdr:blipFill>
        <a:blip r:embed="rId9"/>
        <a:stretch/>
      </xdr:blipFill>
      <xdr:spPr bwMode="auto">
        <a:xfrm>
          <a:off x="5017322" y="98822369"/>
          <a:ext cx="1420092" cy="217934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519546</xdr:colOff>
      <xdr:row>6</xdr:row>
      <xdr:rowOff>69273</xdr:rowOff>
    </xdr:from>
    <xdr:to>
      <xdr:col>5</xdr:col>
      <xdr:colOff>1329939</xdr:colOff>
      <xdr:row>6</xdr:row>
      <xdr:rowOff>1374321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r:embed="rId10"/>
        <a:stretch/>
      </xdr:blipFill>
      <xdr:spPr bwMode="auto">
        <a:xfrm>
          <a:off x="5649439" y="6859237"/>
          <a:ext cx="810393" cy="1305049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353787</xdr:colOff>
      <xdr:row>7</xdr:row>
      <xdr:rowOff>108857</xdr:rowOff>
    </xdr:from>
    <xdr:to>
      <xdr:col>5</xdr:col>
      <xdr:colOff>1455964</xdr:colOff>
      <xdr:row>7</xdr:row>
      <xdr:rowOff>1337578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r:embed="rId11"/>
        <a:stretch/>
      </xdr:blipFill>
      <xdr:spPr bwMode="auto">
        <a:xfrm>
          <a:off x="5483680" y="8409214"/>
          <a:ext cx="1102178" cy="1228721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489858</xdr:colOff>
      <xdr:row>10</xdr:row>
      <xdr:rowOff>40823</xdr:rowOff>
    </xdr:from>
    <xdr:to>
      <xdr:col>5</xdr:col>
      <xdr:colOff>1265465</xdr:colOff>
      <xdr:row>10</xdr:row>
      <xdr:rowOff>1147666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r:embed="rId12"/>
        <a:stretch/>
      </xdr:blipFill>
      <xdr:spPr bwMode="auto">
        <a:xfrm>
          <a:off x="5619750" y="17145002"/>
          <a:ext cx="775608" cy="1106844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340178</xdr:colOff>
      <xdr:row>11</xdr:row>
      <xdr:rowOff>108858</xdr:rowOff>
    </xdr:from>
    <xdr:to>
      <xdr:col>5</xdr:col>
      <xdr:colOff>1283154</xdr:colOff>
      <xdr:row>11</xdr:row>
      <xdr:rowOff>718458</xdr:rowOff>
    </xdr:to>
    <xdr:pic>
      <xdr:nvPicPr>
        <xdr:cNvPr id="1033" name="Picture 9"/>
        <xdr:cNvPicPr>
          <a:picLocks noChangeAspect="1" noChangeArrowheads="1"/>
        </xdr:cNvPicPr>
      </xdr:nvPicPr>
      <xdr:blipFill>
        <a:blip r:embed="rId13"/>
        <a:stretch/>
      </xdr:blipFill>
      <xdr:spPr bwMode="auto">
        <a:xfrm>
          <a:off x="5470072" y="18437679"/>
          <a:ext cx="942975" cy="6096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285750</xdr:colOff>
      <xdr:row>2</xdr:row>
      <xdr:rowOff>4976813</xdr:rowOff>
    </xdr:from>
    <xdr:to>
      <xdr:col>10</xdr:col>
      <xdr:colOff>617686</xdr:colOff>
      <xdr:row>3</xdr:row>
      <xdr:rowOff>5009238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4"/>
        <a:stretch/>
      </xdr:blipFill>
      <xdr:spPr bwMode="auto">
        <a:xfrm>
          <a:off x="285750" y="5476875"/>
          <a:ext cx="10380811" cy="5223549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309562</xdr:colOff>
      <xdr:row>2</xdr:row>
      <xdr:rowOff>166687</xdr:rowOff>
    </xdr:from>
    <xdr:to>
      <xdr:col>10</xdr:col>
      <xdr:colOff>595311</xdr:colOff>
      <xdr:row>2</xdr:row>
      <xdr:rowOff>4363904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r:embed="rId15"/>
        <a:stretch/>
      </xdr:blipFill>
      <xdr:spPr bwMode="auto">
        <a:xfrm>
          <a:off x="4691062" y="666750"/>
          <a:ext cx="5953125" cy="41972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95250</xdr:colOff>
      <xdr:row>2</xdr:row>
      <xdr:rowOff>238126</xdr:rowOff>
    </xdr:from>
    <xdr:to>
      <xdr:col>5</xdr:col>
      <xdr:colOff>0</xdr:colOff>
      <xdr:row>2</xdr:row>
      <xdr:rowOff>5170162</xdr:rowOff>
    </xdr:to>
    <xdr:pic>
      <xdr:nvPicPr>
        <xdr:cNvPr id="4" name="Picture 3"/>
        <xdr:cNvPicPr>
          <a:picLocks noChangeAspect="1" noChangeArrowheads="1"/>
        </xdr:cNvPicPr>
      </xdr:nvPicPr>
      <xdr:blipFill>
        <a:blip r:embed="rId16"/>
        <a:srcRect l="15980" t="6554" r="21254" b="6881"/>
        <a:stretch/>
      </xdr:blipFill>
      <xdr:spPr bwMode="auto">
        <a:xfrm>
          <a:off x="95250" y="738189"/>
          <a:ext cx="5072063" cy="493203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152681</xdr:colOff>
      <xdr:row>9</xdr:row>
      <xdr:rowOff>105055</xdr:rowOff>
    </xdr:from>
    <xdr:to>
      <xdr:col>5</xdr:col>
      <xdr:colOff>1629822</xdr:colOff>
      <xdr:row>9</xdr:row>
      <xdr:rowOff>1658471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r:embed="rId17"/>
        <a:stretch/>
      </xdr:blipFill>
      <xdr:spPr bwMode="auto">
        <a:xfrm>
          <a:off x="5296181" y="15345056"/>
          <a:ext cx="1477142" cy="155341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112058</xdr:colOff>
      <xdr:row>15</xdr:row>
      <xdr:rowOff>257736</xdr:rowOff>
    </xdr:from>
    <xdr:to>
      <xdr:col>5</xdr:col>
      <xdr:colOff>1669676</xdr:colOff>
      <xdr:row>15</xdr:row>
      <xdr:rowOff>993278</xdr:rowOff>
    </xdr:to>
    <xdr:pic>
      <xdr:nvPicPr>
        <xdr:cNvPr id="5" name="Picture 5"/>
        <xdr:cNvPicPr>
          <a:picLocks noChangeAspect="1" noChangeArrowheads="1"/>
        </xdr:cNvPicPr>
      </xdr:nvPicPr>
      <xdr:blipFill>
        <a:blip r:embed="rId18"/>
        <a:stretch/>
      </xdr:blipFill>
      <xdr:spPr bwMode="auto">
        <a:xfrm>
          <a:off x="5255558" y="20854149"/>
          <a:ext cx="1557618" cy="735542"/>
        </a:xfrm>
        <a:prstGeom prst="rect">
          <a:avLst/>
        </a:prstGeom>
        <a:noFill/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B29" zoomScale="85" workbookViewId="0">
      <selection activeCell="D32" activeCellId="0" sqref="D32"/>
    </sheetView>
  </sheetViews>
  <sheetFormatPr defaultRowHeight="14.25"/>
  <cols>
    <col customWidth="1" hidden="1" min="1" max="1" width="6.28515625"/>
    <col customWidth="1" min="2" max="2" style="1" width="7.7109375"/>
    <col customWidth="1" min="3" max="3" width="16.28515625"/>
    <col customWidth="1" min="4" max="4" style="2" width="41.28515625"/>
    <col customWidth="1" min="5" max="5" style="3" width="11.7109375"/>
    <col customWidth="1" min="6" max="6" width="26.7109375"/>
    <col customWidth="1" min="7" max="7" width="12.85546875"/>
    <col customWidth="1" min="8" max="8" width="10.140625"/>
    <col customWidth="1" min="9" max="10" width="11.7109375"/>
    <col customWidth="1" min="11" max="11" style="4" width="12.28515625"/>
    <col customWidth="1" min="12" max="12" width="10.140625"/>
    <col customWidth="1" min="13" max="13" width="30.42578125"/>
    <col customWidth="1" min="14" max="14" width="12.28515625"/>
    <col customWidth="1" min="15" max="15" width="6.5703125"/>
    <col customWidth="1" min="16" max="16" style="3" width="14.140625"/>
    <col customWidth="1" min="17" max="17" width="7.28515625"/>
    <col customWidth="1" min="18" max="18" style="5" width="40.28515625"/>
  </cols>
  <sheetData>
    <row r="1" ht="21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ht="18.75" customHeight="1">
      <c r="A2" s="8"/>
      <c r="B2" s="9" t="s">
        <v>1</v>
      </c>
      <c r="C2" s="9"/>
      <c r="D2" s="9"/>
      <c r="E2" s="9"/>
      <c r="F2" s="9"/>
      <c r="G2" s="9"/>
      <c r="H2" s="9"/>
      <c r="I2" s="9"/>
      <c r="J2" s="9"/>
      <c r="K2" s="9"/>
    </row>
    <row r="3" ht="408.75" customHeight="1">
      <c r="A3" s="10"/>
      <c r="B3" s="11"/>
      <c r="C3" s="12"/>
      <c r="D3" s="12"/>
      <c r="E3" s="12"/>
      <c r="F3" s="12"/>
      <c r="G3" s="12"/>
      <c r="H3" s="12"/>
      <c r="I3" s="12"/>
      <c r="J3" s="12"/>
      <c r="K3" s="13"/>
    </row>
    <row r="4" ht="408.75" customHeight="1">
      <c r="A4" s="10"/>
      <c r="B4" s="14"/>
      <c r="C4" s="15"/>
      <c r="D4" s="15"/>
      <c r="E4" s="15"/>
      <c r="F4" s="15"/>
      <c r="G4" s="15"/>
      <c r="H4" s="15"/>
      <c r="I4" s="15"/>
      <c r="J4" s="15"/>
      <c r="K4" s="16"/>
    </row>
    <row r="5" ht="69" customHeight="1">
      <c r="A5" s="17"/>
      <c r="B5" s="18" t="s">
        <v>2</v>
      </c>
      <c r="C5" s="19" t="s">
        <v>3</v>
      </c>
      <c r="D5" s="20" t="s">
        <v>4</v>
      </c>
      <c r="E5" s="19" t="s">
        <v>5</v>
      </c>
      <c r="F5" s="19" t="s">
        <v>6</v>
      </c>
      <c r="G5" s="19" t="s">
        <v>7</v>
      </c>
      <c r="H5" s="20" t="s">
        <v>8</v>
      </c>
      <c r="I5" s="20" t="s">
        <v>9</v>
      </c>
      <c r="J5" s="20" t="s">
        <v>10</v>
      </c>
      <c r="K5" s="21" t="s">
        <v>11</v>
      </c>
      <c r="L5" s="22" t="s">
        <v>12</v>
      </c>
      <c r="M5" s="23" t="s">
        <v>13</v>
      </c>
      <c r="N5" s="24" t="s">
        <v>14</v>
      </c>
      <c r="O5" s="25" t="s">
        <v>15</v>
      </c>
      <c r="P5" s="26" t="s">
        <v>16</v>
      </c>
      <c r="Q5" s="25" t="s">
        <v>17</v>
      </c>
      <c r="R5" s="27" t="s">
        <v>18</v>
      </c>
    </row>
    <row r="6" ht="15">
      <c r="A6" s="28"/>
      <c r="B6" s="29" t="s">
        <v>19</v>
      </c>
      <c r="C6" s="30"/>
      <c r="D6" s="30"/>
      <c r="E6" s="30"/>
      <c r="F6" s="30"/>
      <c r="G6" s="30"/>
      <c r="H6" s="30"/>
      <c r="I6" s="30"/>
      <c r="J6" s="30"/>
      <c r="K6" s="31"/>
      <c r="L6" s="32"/>
      <c r="M6" s="33"/>
      <c r="N6" s="34"/>
      <c r="O6" s="35"/>
      <c r="P6" s="36"/>
      <c r="Q6" s="35"/>
      <c r="R6" s="37"/>
    </row>
    <row r="7" s="38" customFormat="1" ht="118.5" customHeight="1">
      <c r="A7" s="39"/>
      <c r="B7" s="40">
        <v>1</v>
      </c>
      <c r="C7" s="41" t="s">
        <v>20</v>
      </c>
      <c r="D7" s="42" t="s">
        <v>21</v>
      </c>
      <c r="E7" s="40">
        <v>1</v>
      </c>
      <c r="F7" s="43"/>
      <c r="G7" s="44">
        <v>7047</v>
      </c>
      <c r="H7" s="40">
        <v>0.56999999999999995</v>
      </c>
      <c r="I7" s="40">
        <v>1</v>
      </c>
      <c r="J7" s="40">
        <v>0.040000000000000001</v>
      </c>
      <c r="K7" s="45">
        <f t="shared" ref="K7:K8" si="0">H7*I7*J7</f>
        <v>0.022799999999999997</v>
      </c>
      <c r="L7" s="46">
        <f t="shared" ref="L7:L31" si="1">K7*E7</f>
        <v>0.022799999999999997</v>
      </c>
      <c r="M7" s="47" t="s">
        <v>22</v>
      </c>
      <c r="N7" s="34"/>
      <c r="O7" s="48">
        <f t="shared" ref="O7:O31" si="2">N7*E7</f>
        <v>0</v>
      </c>
      <c r="P7" s="36">
        <v>4</v>
      </c>
      <c r="Q7" s="26">
        <f t="shared" ref="Q7:Q31" si="3">P7*E7</f>
        <v>4</v>
      </c>
      <c r="R7" s="49" t="s">
        <v>23</v>
      </c>
    </row>
    <row r="8" s="38" customFormat="1" ht="116.25" customHeight="1">
      <c r="A8" s="50"/>
      <c r="B8" s="26">
        <v>2</v>
      </c>
      <c r="C8" s="51" t="s">
        <v>24</v>
      </c>
      <c r="D8" s="42" t="s">
        <v>25</v>
      </c>
      <c r="E8" s="52">
        <v>1</v>
      </c>
      <c r="F8" s="49"/>
      <c r="G8" s="44">
        <v>7047</v>
      </c>
      <c r="H8" s="49">
        <v>0.56999999999999995</v>
      </c>
      <c r="I8" s="49">
        <v>0.66500000000000004</v>
      </c>
      <c r="J8" s="49">
        <v>0.040000000000000001</v>
      </c>
      <c r="K8" s="53">
        <f t="shared" si="0"/>
        <v>0.015162</v>
      </c>
      <c r="L8" s="46">
        <f t="shared" si="1"/>
        <v>0.015162</v>
      </c>
      <c r="M8" s="47" t="s">
        <v>26</v>
      </c>
      <c r="N8" s="34"/>
      <c r="O8" s="48">
        <f t="shared" si="2"/>
        <v>0</v>
      </c>
      <c r="P8" s="36">
        <v>2</v>
      </c>
      <c r="Q8" s="26">
        <f t="shared" si="3"/>
        <v>2</v>
      </c>
      <c r="R8" s="49" t="s">
        <v>23</v>
      </c>
    </row>
    <row r="9" ht="23.25" customHeight="1">
      <c r="A9" s="54"/>
      <c r="B9" s="55" t="s">
        <v>27</v>
      </c>
      <c r="C9" s="56"/>
      <c r="D9" s="56"/>
      <c r="E9" s="56"/>
      <c r="F9" s="56"/>
      <c r="G9" s="56"/>
      <c r="H9" s="56"/>
      <c r="I9" s="56"/>
      <c r="J9" s="56"/>
      <c r="K9" s="57"/>
      <c r="L9" s="46">
        <f t="shared" si="1"/>
        <v>0</v>
      </c>
      <c r="M9" s="58"/>
      <c r="N9" s="59"/>
      <c r="O9" s="48">
        <f t="shared" si="2"/>
        <v>0</v>
      </c>
      <c r="P9" s="60"/>
      <c r="Q9" s="26">
        <f t="shared" si="3"/>
        <v>0</v>
      </c>
      <c r="R9" s="37"/>
    </row>
    <row r="10" s="38" customFormat="1" ht="144" customHeight="1">
      <c r="A10" s="61" t="s">
        <v>28</v>
      </c>
      <c r="B10" s="62">
        <v>3</v>
      </c>
      <c r="C10" s="63" t="s">
        <v>29</v>
      </c>
      <c r="D10" s="62" t="s">
        <v>30</v>
      </c>
      <c r="E10" s="62">
        <v>2</v>
      </c>
      <c r="F10" s="62"/>
      <c r="G10" s="64">
        <v>5017</v>
      </c>
      <c r="H10" s="62">
        <v>1.194</v>
      </c>
      <c r="I10" s="62">
        <v>1.377</v>
      </c>
      <c r="J10" s="62">
        <v>0.021000000000000001</v>
      </c>
      <c r="K10" s="65">
        <f t="shared" ref="K10:K31" si="4">H10*I10*J10</f>
        <v>0.034526898</v>
      </c>
      <c r="L10" s="46">
        <f t="shared" si="1"/>
        <v>0.069053796000000001</v>
      </c>
      <c r="M10" s="47"/>
      <c r="N10" s="24">
        <v>4</v>
      </c>
      <c r="O10" s="48">
        <f t="shared" si="2"/>
        <v>8</v>
      </c>
      <c r="P10" s="26"/>
      <c r="Q10" s="26">
        <f t="shared" si="3"/>
        <v>0</v>
      </c>
      <c r="R10" s="66" t="s">
        <v>31</v>
      </c>
    </row>
    <row r="11" s="38" customFormat="1" ht="96.75" customHeight="1">
      <c r="A11" s="67"/>
      <c r="B11" s="26">
        <v>4</v>
      </c>
      <c r="C11" s="63" t="s">
        <v>32</v>
      </c>
      <c r="D11" s="26" t="s">
        <v>33</v>
      </c>
      <c r="E11" s="26">
        <v>2</v>
      </c>
      <c r="F11" s="26"/>
      <c r="G11" s="44">
        <v>7047</v>
      </c>
      <c r="H11" s="26">
        <v>0.59999999999999998</v>
      </c>
      <c r="I11" s="26">
        <v>0.34300000000000003</v>
      </c>
      <c r="J11" s="26">
        <v>0.014999999999999999</v>
      </c>
      <c r="K11" s="53">
        <f t="shared" si="4"/>
        <v>0.0030869999999999999</v>
      </c>
      <c r="L11" s="46">
        <f t="shared" si="1"/>
        <v>0.0061739999999999998</v>
      </c>
      <c r="M11" s="47" t="s">
        <v>34</v>
      </c>
      <c r="N11" s="24"/>
      <c r="O11" s="48">
        <f t="shared" si="2"/>
        <v>0</v>
      </c>
      <c r="P11" s="26">
        <v>3</v>
      </c>
      <c r="Q11" s="26">
        <f t="shared" si="3"/>
        <v>6</v>
      </c>
      <c r="R11" s="66" t="s">
        <v>35</v>
      </c>
    </row>
    <row r="12" s="38" customFormat="1" ht="73.5" customHeight="1">
      <c r="A12" s="68"/>
      <c r="B12" s="69">
        <v>5</v>
      </c>
      <c r="C12" s="63" t="s">
        <v>36</v>
      </c>
      <c r="D12" s="26" t="s">
        <v>37</v>
      </c>
      <c r="E12" s="26">
        <v>2</v>
      </c>
      <c r="F12" s="26"/>
      <c r="G12" s="44">
        <v>7047</v>
      </c>
      <c r="H12" s="26">
        <v>0.38500000000000001</v>
      </c>
      <c r="I12" s="26">
        <v>0.218</v>
      </c>
      <c r="J12" s="26">
        <v>0.014999999999999999</v>
      </c>
      <c r="K12" s="53">
        <f t="shared" si="4"/>
        <v>0.00125895</v>
      </c>
      <c r="L12" s="46">
        <f t="shared" si="1"/>
        <v>0.0025179</v>
      </c>
      <c r="M12" s="47" t="s">
        <v>38</v>
      </c>
      <c r="N12" s="24"/>
      <c r="O12" s="48">
        <f t="shared" si="2"/>
        <v>0</v>
      </c>
      <c r="P12" s="26">
        <v>2</v>
      </c>
      <c r="Q12" s="26">
        <f t="shared" si="3"/>
        <v>4</v>
      </c>
      <c r="R12" s="66" t="s">
        <v>35</v>
      </c>
    </row>
    <row r="13" ht="22.5" customHeight="1">
      <c r="A13" s="29" t="s">
        <v>39</v>
      </c>
      <c r="B13" s="30"/>
      <c r="C13" s="30"/>
      <c r="D13" s="30"/>
      <c r="E13" s="30"/>
      <c r="F13" s="30"/>
      <c r="G13" s="30"/>
      <c r="H13" s="30"/>
      <c r="I13" s="30"/>
      <c r="J13" s="30"/>
      <c r="K13" s="31"/>
      <c r="L13" s="46">
        <f t="shared" ref="L13:L16" si="5">K13*E13</f>
        <v>0</v>
      </c>
      <c r="M13" s="58"/>
      <c r="N13" s="59"/>
      <c r="O13" s="48">
        <f t="shared" si="2"/>
        <v>0</v>
      </c>
      <c r="P13" s="60"/>
      <c r="Q13" s="26">
        <f t="shared" si="3"/>
        <v>0</v>
      </c>
      <c r="R13" s="37"/>
    </row>
    <row r="14" s="38" customFormat="1" ht="45.75" customHeight="1">
      <c r="A14" s="70"/>
      <c r="B14" s="71" t="s">
        <v>40</v>
      </c>
      <c r="C14" s="51" t="s">
        <v>41</v>
      </c>
      <c r="D14" s="42" t="s">
        <v>42</v>
      </c>
      <c r="E14" s="26">
        <v>3</v>
      </c>
      <c r="F14" s="26"/>
      <c r="G14" s="72" t="s">
        <v>43</v>
      </c>
      <c r="H14" s="26">
        <v>0.61199999999999999</v>
      </c>
      <c r="I14" s="26">
        <v>0.14999999999999999</v>
      </c>
      <c r="J14" s="26">
        <v>0.017999999999999999</v>
      </c>
      <c r="K14" s="53">
        <f t="shared" si="4"/>
        <v>0.0016523999999999998</v>
      </c>
      <c r="L14" s="46">
        <f t="shared" si="5"/>
        <v>0.0049571999999999993</v>
      </c>
      <c r="M14" s="47" t="s">
        <v>44</v>
      </c>
      <c r="N14" s="24"/>
      <c r="O14" s="48">
        <f t="shared" si="2"/>
        <v>0</v>
      </c>
      <c r="P14" s="26"/>
      <c r="Q14" s="26">
        <f t="shared" si="3"/>
        <v>0</v>
      </c>
      <c r="R14" s="49" t="s">
        <v>45</v>
      </c>
    </row>
    <row r="15" s="38" customFormat="1" ht="39" customHeight="1">
      <c r="A15" s="70"/>
      <c r="B15" s="71" t="s">
        <v>46</v>
      </c>
      <c r="C15" s="26" t="s">
        <v>47</v>
      </c>
      <c r="D15" s="26" t="s">
        <v>48</v>
      </c>
      <c r="E15" s="26">
        <v>4</v>
      </c>
      <c r="F15" s="26"/>
      <c r="G15" s="73">
        <v>8014</v>
      </c>
      <c r="H15" s="26">
        <v>0.035000000000000003</v>
      </c>
      <c r="I15" s="26">
        <v>0.089999999999999997</v>
      </c>
      <c r="J15" s="26">
        <v>0.56999999999999995</v>
      </c>
      <c r="K15" s="53">
        <f t="shared" si="4"/>
        <v>0.0017954999999999998</v>
      </c>
      <c r="L15" s="46">
        <f t="shared" si="5"/>
        <v>0.0071819999999999991</v>
      </c>
      <c r="M15" s="47" t="s">
        <v>49</v>
      </c>
      <c r="N15" s="24"/>
      <c r="O15" s="48">
        <f t="shared" si="2"/>
        <v>0</v>
      </c>
      <c r="P15" s="26"/>
      <c r="Q15" s="26">
        <f t="shared" si="3"/>
        <v>0</v>
      </c>
      <c r="R15" s="49" t="s">
        <v>50</v>
      </c>
    </row>
    <row r="16" s="38" customFormat="1" ht="105.75" customHeight="1">
      <c r="A16" s="70"/>
      <c r="B16" s="71" t="s">
        <v>51</v>
      </c>
      <c r="C16" s="51" t="s">
        <v>52</v>
      </c>
      <c r="D16" s="42" t="s">
        <v>53</v>
      </c>
      <c r="E16" s="26">
        <v>1</v>
      </c>
      <c r="F16" s="26"/>
      <c r="G16" s="72" t="s">
        <v>43</v>
      </c>
      <c r="H16" s="26">
        <v>0.61199999999999999</v>
      </c>
      <c r="I16" s="26">
        <v>0.40999999999999998</v>
      </c>
      <c r="J16" s="26">
        <v>0.017999999999999999</v>
      </c>
      <c r="K16" s="53">
        <f t="shared" si="4"/>
        <v>0.0045165599999999993</v>
      </c>
      <c r="L16" s="46">
        <f t="shared" si="5"/>
        <v>0.0045165599999999993</v>
      </c>
      <c r="M16" s="47" t="s">
        <v>44</v>
      </c>
      <c r="N16" s="24"/>
      <c r="O16" s="48">
        <f t="shared" si="2"/>
        <v>0</v>
      </c>
      <c r="P16" s="26"/>
      <c r="Q16" s="26">
        <f t="shared" si="3"/>
        <v>0</v>
      </c>
      <c r="R16" s="49" t="s">
        <v>45</v>
      </c>
    </row>
    <row r="17" ht="31.5" customHeight="1">
      <c r="A17" s="74" t="s">
        <v>54</v>
      </c>
      <c r="B17" s="75"/>
      <c r="C17" s="75"/>
      <c r="D17" s="75"/>
      <c r="E17" s="75"/>
      <c r="F17" s="75"/>
      <c r="G17" s="75"/>
      <c r="H17" s="75"/>
      <c r="I17" s="75"/>
      <c r="J17" s="75"/>
      <c r="K17" s="76"/>
      <c r="L17" s="77">
        <f t="shared" si="1"/>
        <v>0</v>
      </c>
      <c r="M17" s="78"/>
      <c r="N17" s="79"/>
      <c r="O17" s="48">
        <f t="shared" si="2"/>
        <v>0</v>
      </c>
      <c r="P17" s="80"/>
      <c r="Q17" s="26">
        <f t="shared" si="3"/>
        <v>0</v>
      </c>
      <c r="R17" s="37"/>
    </row>
    <row r="18" ht="27.75" customHeight="1">
      <c r="A18" s="32"/>
      <c r="B18" s="29" t="s">
        <v>55</v>
      </c>
      <c r="C18" s="30"/>
      <c r="D18" s="30"/>
      <c r="E18" s="30"/>
      <c r="F18" s="30"/>
      <c r="G18" s="30"/>
      <c r="H18" s="30"/>
      <c r="I18" s="30"/>
      <c r="J18" s="30"/>
      <c r="K18" s="31"/>
      <c r="L18" s="77">
        <f t="shared" si="1"/>
        <v>0</v>
      </c>
      <c r="M18" s="81"/>
      <c r="N18" s="34"/>
      <c r="O18" s="48">
        <f t="shared" si="2"/>
        <v>0</v>
      </c>
      <c r="P18" s="36"/>
      <c r="Q18" s="26">
        <f t="shared" si="3"/>
        <v>0</v>
      </c>
      <c r="R18" s="37"/>
    </row>
    <row r="19" s="38" customFormat="1" ht="93" customHeight="1">
      <c r="A19" s="82"/>
      <c r="B19" s="83">
        <v>1</v>
      </c>
      <c r="C19" s="41" t="s">
        <v>56</v>
      </c>
      <c r="D19" s="42" t="s">
        <v>57</v>
      </c>
      <c r="E19" s="40">
        <v>1</v>
      </c>
      <c r="F19" s="43"/>
      <c r="G19" s="64">
        <v>5017</v>
      </c>
      <c r="H19" s="40">
        <v>1.696</v>
      </c>
      <c r="I19" s="40">
        <v>1.0600000000000001</v>
      </c>
      <c r="J19" s="40">
        <v>0.021000000000000001</v>
      </c>
      <c r="K19" s="84">
        <f t="shared" si="4"/>
        <v>0.037752960000000002</v>
      </c>
      <c r="L19" s="77">
        <f t="shared" si="1"/>
        <v>0.037752960000000002</v>
      </c>
      <c r="M19" s="47" t="s">
        <v>58</v>
      </c>
      <c r="N19" s="24"/>
      <c r="O19" s="48">
        <f t="shared" si="2"/>
        <v>0</v>
      </c>
      <c r="P19" s="26">
        <v>3</v>
      </c>
      <c r="Q19" s="26">
        <f t="shared" si="3"/>
        <v>3</v>
      </c>
      <c r="R19" s="66" t="s">
        <v>31</v>
      </c>
    </row>
    <row r="20" s="38" customFormat="1" ht="93" customHeight="1">
      <c r="A20" s="82"/>
      <c r="B20" s="85">
        <v>2</v>
      </c>
      <c r="C20" s="41" t="s">
        <v>59</v>
      </c>
      <c r="D20" s="86" t="s">
        <v>60</v>
      </c>
      <c r="E20" s="26">
        <v>1</v>
      </c>
      <c r="F20" s="87"/>
      <c r="G20" s="64">
        <v>5017</v>
      </c>
      <c r="H20" s="26">
        <v>1.254</v>
      </c>
      <c r="I20" s="26">
        <v>0.70999999999999996</v>
      </c>
      <c r="J20" s="26">
        <v>0.021000000000000001</v>
      </c>
      <c r="K20" s="88">
        <f t="shared" si="4"/>
        <v>0.018697140000000001</v>
      </c>
      <c r="L20" s="77">
        <f t="shared" si="1"/>
        <v>0.018697140000000001</v>
      </c>
      <c r="M20" s="47" t="s">
        <v>58</v>
      </c>
      <c r="N20" s="24"/>
      <c r="O20" s="48">
        <f t="shared" si="2"/>
        <v>0</v>
      </c>
      <c r="P20" s="26">
        <v>3</v>
      </c>
      <c r="Q20" s="26">
        <f t="shared" si="3"/>
        <v>3</v>
      </c>
      <c r="R20" s="66" t="s">
        <v>31</v>
      </c>
    </row>
    <row r="21" s="38" customFormat="1" ht="93" customHeight="1">
      <c r="A21" s="82"/>
      <c r="B21" s="85">
        <v>3</v>
      </c>
      <c r="C21" s="41" t="s">
        <v>61</v>
      </c>
      <c r="D21" s="86" t="s">
        <v>62</v>
      </c>
      <c r="E21" s="26">
        <v>2</v>
      </c>
      <c r="F21" s="87"/>
      <c r="G21" s="64">
        <v>5017</v>
      </c>
      <c r="H21" s="26">
        <v>1.522</v>
      </c>
      <c r="I21" s="26">
        <v>0.84699999999999998</v>
      </c>
      <c r="J21" s="26">
        <v>0.021000000000000001</v>
      </c>
      <c r="K21" s="88">
        <f t="shared" si="4"/>
        <v>0.027071814000000003</v>
      </c>
      <c r="L21" s="77">
        <f t="shared" si="1"/>
        <v>0.054143628000000006</v>
      </c>
      <c r="M21" s="89"/>
      <c r="N21" s="24"/>
      <c r="O21" s="48">
        <f t="shared" si="2"/>
        <v>0</v>
      </c>
      <c r="P21" s="26"/>
      <c r="Q21" s="26">
        <f t="shared" si="3"/>
        <v>0</v>
      </c>
      <c r="R21" s="66" t="s">
        <v>31</v>
      </c>
    </row>
    <row r="22" ht="27.75" customHeight="1">
      <c r="A22" s="70"/>
      <c r="B22" s="29" t="s">
        <v>63</v>
      </c>
      <c r="C22" s="30"/>
      <c r="D22" s="30"/>
      <c r="E22" s="30"/>
      <c r="F22" s="30"/>
      <c r="G22" s="30"/>
      <c r="H22" s="30"/>
      <c r="I22" s="30"/>
      <c r="J22" s="30"/>
      <c r="K22" s="31"/>
      <c r="L22" s="77">
        <f t="shared" si="1"/>
        <v>0</v>
      </c>
      <c r="M22" s="81"/>
      <c r="N22" s="34"/>
      <c r="O22" s="48">
        <f t="shared" si="2"/>
        <v>0</v>
      </c>
      <c r="P22" s="36"/>
      <c r="Q22" s="26">
        <f t="shared" si="3"/>
        <v>0</v>
      </c>
      <c r="R22" s="37"/>
    </row>
    <row r="23" ht="52.5" customHeight="1">
      <c r="A23" s="90"/>
      <c r="B23" s="91">
        <v>4</v>
      </c>
      <c r="C23" s="92"/>
      <c r="D23" s="93" t="s">
        <v>64</v>
      </c>
      <c r="E23" s="92">
        <v>1</v>
      </c>
      <c r="F23" s="92"/>
      <c r="G23" s="92"/>
      <c r="H23" s="92">
        <v>1.3500000000000001</v>
      </c>
      <c r="I23" s="92">
        <v>0.56000000000000005</v>
      </c>
      <c r="J23" s="92">
        <v>0.0015</v>
      </c>
      <c r="K23" s="84">
        <f t="shared" si="4"/>
        <v>0.0011340000000000002</v>
      </c>
      <c r="L23" s="77">
        <f t="shared" si="1"/>
        <v>0.0011340000000000002</v>
      </c>
      <c r="M23" s="89"/>
      <c r="N23" s="34"/>
      <c r="O23" s="48">
        <f t="shared" si="2"/>
        <v>0</v>
      </c>
      <c r="P23" s="36"/>
      <c r="Q23" s="26">
        <f t="shared" si="3"/>
        <v>0</v>
      </c>
      <c r="R23" s="49" t="s">
        <v>65</v>
      </c>
    </row>
    <row r="24" s="38" customFormat="1" ht="73.5" customHeight="1">
      <c r="A24" s="94"/>
      <c r="B24" s="85">
        <v>5</v>
      </c>
      <c r="C24" s="51" t="s">
        <v>66</v>
      </c>
      <c r="D24" s="86" t="s">
        <v>67</v>
      </c>
      <c r="E24" s="26">
        <v>4</v>
      </c>
      <c r="F24" s="87"/>
      <c r="G24" s="95">
        <v>7047</v>
      </c>
      <c r="H24" s="26">
        <v>0.50600000000000001</v>
      </c>
      <c r="I24" s="26">
        <v>0.080000000000000002</v>
      </c>
      <c r="J24" s="26">
        <v>0.029999999999999999</v>
      </c>
      <c r="K24" s="88">
        <f t="shared" si="4"/>
        <v>0.0012144</v>
      </c>
      <c r="L24" s="77">
        <f t="shared" si="1"/>
        <v>0.0048576000000000001</v>
      </c>
      <c r="M24" s="47" t="s">
        <v>68</v>
      </c>
      <c r="N24" s="24"/>
      <c r="O24" s="48">
        <f t="shared" si="2"/>
        <v>0</v>
      </c>
      <c r="P24" s="26"/>
      <c r="Q24" s="26">
        <f t="shared" si="3"/>
        <v>0</v>
      </c>
      <c r="R24" s="49" t="s">
        <v>69</v>
      </c>
    </row>
    <row r="25" s="38" customFormat="1" ht="93" customHeight="1">
      <c r="A25" s="94"/>
      <c r="B25" s="85">
        <v>6</v>
      </c>
      <c r="C25" s="51" t="s">
        <v>70</v>
      </c>
      <c r="D25" s="86" t="s">
        <v>71</v>
      </c>
      <c r="E25" s="26">
        <v>1</v>
      </c>
      <c r="F25" s="87"/>
      <c r="G25" s="95">
        <v>7047</v>
      </c>
      <c r="H25" s="26">
        <v>0.50600000000000001</v>
      </c>
      <c r="I25" s="26">
        <v>0.070000000000000007</v>
      </c>
      <c r="J25" s="26">
        <v>0.050000000000000003</v>
      </c>
      <c r="K25" s="88">
        <f t="shared" si="4"/>
        <v>0.0017710000000000004</v>
      </c>
      <c r="L25" s="77">
        <f t="shared" si="1"/>
        <v>0.0017710000000000004</v>
      </c>
      <c r="M25" s="47" t="s">
        <v>72</v>
      </c>
      <c r="N25" s="24"/>
      <c r="O25" s="48">
        <f t="shared" si="2"/>
        <v>0</v>
      </c>
      <c r="P25" s="26">
        <v>3</v>
      </c>
      <c r="Q25" s="26">
        <f t="shared" si="3"/>
        <v>3</v>
      </c>
      <c r="R25" s="49" t="s">
        <v>73</v>
      </c>
    </row>
    <row r="26" s="38" customFormat="1" ht="180.75" customHeight="1">
      <c r="A26" s="96"/>
      <c r="B26" s="97">
        <v>7</v>
      </c>
      <c r="C26" s="98" t="s">
        <v>74</v>
      </c>
      <c r="D26" s="99" t="s">
        <v>75</v>
      </c>
      <c r="E26" s="48">
        <v>1</v>
      </c>
      <c r="F26" s="100"/>
      <c r="G26" s="101">
        <v>7047</v>
      </c>
      <c r="H26" s="48">
        <v>0.50600000000000001</v>
      </c>
      <c r="I26" s="48">
        <v>0.65000000000000002</v>
      </c>
      <c r="J26" s="48">
        <v>0.080000000000000002</v>
      </c>
      <c r="K26" s="102">
        <f t="shared" si="4"/>
        <v>0.026312000000000002</v>
      </c>
      <c r="L26" s="77">
        <f t="shared" si="1"/>
        <v>0.026312000000000002</v>
      </c>
      <c r="M26" s="47" t="s">
        <v>38</v>
      </c>
      <c r="N26" s="24"/>
      <c r="O26" s="48">
        <f t="shared" si="2"/>
        <v>0</v>
      </c>
      <c r="P26" s="26"/>
      <c r="Q26" s="26">
        <f t="shared" si="3"/>
        <v>0</v>
      </c>
      <c r="R26" s="49" t="s">
        <v>76</v>
      </c>
    </row>
    <row r="27" s="38" customFormat="1" ht="27.75" customHeight="1">
      <c r="A27" s="103" t="s">
        <v>63</v>
      </c>
      <c r="B27" s="104"/>
      <c r="C27" s="104"/>
      <c r="D27" s="104"/>
      <c r="E27" s="104"/>
      <c r="F27" s="104"/>
      <c r="G27" s="104"/>
      <c r="H27" s="104"/>
      <c r="I27" s="104"/>
      <c r="J27" s="104"/>
      <c r="K27" s="105"/>
      <c r="L27" s="46">
        <f t="shared" si="1"/>
        <v>0</v>
      </c>
      <c r="M27" s="58"/>
      <c r="N27" s="106"/>
      <c r="O27" s="48">
        <f t="shared" si="2"/>
        <v>0</v>
      </c>
      <c r="P27" s="25"/>
      <c r="Q27" s="26">
        <f t="shared" si="3"/>
        <v>0</v>
      </c>
      <c r="R27" s="49"/>
    </row>
    <row r="28" s="38" customFormat="1" ht="75.75" customHeight="1">
      <c r="A28" s="54"/>
      <c r="B28" s="107" t="s">
        <v>77</v>
      </c>
      <c r="C28" s="108" t="s">
        <v>78</v>
      </c>
      <c r="D28" s="40" t="s">
        <v>79</v>
      </c>
      <c r="E28" s="69">
        <v>1</v>
      </c>
      <c r="F28" s="109"/>
      <c r="G28" s="110">
        <v>7047</v>
      </c>
      <c r="H28" s="69">
        <v>0.56999999999999995</v>
      </c>
      <c r="I28" s="69">
        <v>0.040000000000000001</v>
      </c>
      <c r="J28" s="69">
        <v>0.10000000000000001</v>
      </c>
      <c r="K28" s="88">
        <f t="shared" si="4"/>
        <v>0.0022799999999999999</v>
      </c>
      <c r="L28" s="46">
        <f t="shared" si="1"/>
        <v>0.0022799999999999999</v>
      </c>
      <c r="M28" s="47" t="s">
        <v>80</v>
      </c>
      <c r="N28" s="24">
        <v>4</v>
      </c>
      <c r="O28" s="48">
        <f t="shared" si="2"/>
        <v>4</v>
      </c>
      <c r="P28" s="26"/>
      <c r="Q28" s="26">
        <f t="shared" si="3"/>
        <v>0</v>
      </c>
      <c r="R28" s="49" t="s">
        <v>76</v>
      </c>
    </row>
    <row r="29" s="38" customFormat="1" ht="27.75" customHeight="1">
      <c r="A29" s="103" t="s">
        <v>81</v>
      </c>
      <c r="B29" s="104"/>
      <c r="C29" s="104"/>
      <c r="D29" s="104"/>
      <c r="E29" s="104"/>
      <c r="F29" s="104"/>
      <c r="G29" s="104"/>
      <c r="H29" s="104"/>
      <c r="I29" s="104"/>
      <c r="J29" s="104"/>
      <c r="K29" s="105"/>
      <c r="L29" s="46">
        <f t="shared" si="1"/>
        <v>0</v>
      </c>
      <c r="M29" s="58"/>
      <c r="N29" s="106"/>
      <c r="O29" s="48">
        <f t="shared" si="2"/>
        <v>0</v>
      </c>
      <c r="P29" s="25"/>
      <c r="Q29" s="26">
        <f t="shared" si="3"/>
        <v>0</v>
      </c>
      <c r="R29" s="49"/>
    </row>
    <row r="30" ht="58.5" customHeight="1">
      <c r="A30" s="111"/>
      <c r="B30" s="63" t="s">
        <v>82</v>
      </c>
      <c r="C30" s="62" t="s">
        <v>83</v>
      </c>
      <c r="D30" s="112" t="s">
        <v>84</v>
      </c>
      <c r="E30" s="113">
        <v>25</v>
      </c>
      <c r="F30" s="114"/>
      <c r="G30" s="115" t="s">
        <v>85</v>
      </c>
      <c r="H30" s="115">
        <v>0.027</v>
      </c>
      <c r="I30" s="115">
        <v>0.027</v>
      </c>
      <c r="J30" s="115">
        <v>0.016</v>
      </c>
      <c r="K30" s="116">
        <f t="shared" si="4"/>
        <v>1.1663999999999999e-05</v>
      </c>
      <c r="L30" s="46">
        <f t="shared" si="1"/>
        <v>0.00029159999999999999</v>
      </c>
      <c r="M30" s="58"/>
      <c r="N30" s="34"/>
      <c r="O30" s="48">
        <f t="shared" si="2"/>
        <v>0</v>
      </c>
      <c r="P30" s="36"/>
      <c r="Q30" s="26">
        <f t="shared" si="3"/>
        <v>0</v>
      </c>
      <c r="R30" s="49" t="s">
        <v>86</v>
      </c>
    </row>
    <row r="31" ht="66.75" customHeight="1">
      <c r="A31" s="117"/>
      <c r="B31" s="41" t="s">
        <v>87</v>
      </c>
      <c r="C31" s="26" t="s">
        <v>88</v>
      </c>
      <c r="D31" s="86" t="s">
        <v>89</v>
      </c>
      <c r="E31" s="60">
        <v>12</v>
      </c>
      <c r="F31" s="35"/>
      <c r="G31" s="36" t="s">
        <v>85</v>
      </c>
      <c r="H31" s="36">
        <v>0.035999999999999997</v>
      </c>
      <c r="I31" s="36">
        <v>0.035999999999999997</v>
      </c>
      <c r="J31" s="36">
        <v>0.023</v>
      </c>
      <c r="K31" s="118">
        <f t="shared" si="4"/>
        <v>2.9807999999999996e-05</v>
      </c>
      <c r="L31" s="46">
        <f t="shared" si="1"/>
        <v>0.00035769599999999996</v>
      </c>
      <c r="M31" s="58"/>
      <c r="N31" s="34"/>
      <c r="O31" s="26">
        <f t="shared" si="2"/>
        <v>0</v>
      </c>
      <c r="P31" s="36"/>
      <c r="Q31" s="26">
        <f t="shared" si="3"/>
        <v>0</v>
      </c>
      <c r="R31" s="49" t="s">
        <v>86</v>
      </c>
    </row>
    <row r="32" ht="26.25" customHeight="1">
      <c r="L32" s="119">
        <f>SUM(L7:L31)</f>
        <v>0.27996108000000003</v>
      </c>
      <c r="M32" s="120"/>
      <c r="O32">
        <f>SUM(O7:O31)</f>
        <v>12</v>
      </c>
      <c r="Q32">
        <f>SUM(Q7:Q31)</f>
        <v>25</v>
      </c>
    </row>
  </sheetData>
  <mergeCells count="12">
    <mergeCell ref="A1:K1"/>
    <mergeCell ref="B2:K2"/>
    <mergeCell ref="B3:K4"/>
    <mergeCell ref="B6:K6"/>
    <mergeCell ref="B9:K9"/>
    <mergeCell ref="A10:A11"/>
    <mergeCell ref="A13:K13"/>
    <mergeCell ref="A17:K17"/>
    <mergeCell ref="B18:K18"/>
    <mergeCell ref="B22:K22"/>
    <mergeCell ref="A27:K27"/>
    <mergeCell ref="A29:K29"/>
  </mergeCells>
  <printOptions headings="0" gridLines="0"/>
  <pageMargins left="0.70078740157480324" right="0.70078740157480324" top="0.75196850393700776" bottom="0.75196850393700776" header="0.29999999999999999" footer="0.29999999999999999"/>
  <pageSetup paperSize="9" scale="32" firstPageNumber="1" fitToWidth="1" fitToHeight="0" pageOrder="downThenOver" orientation="portrait" usePrinterDefaults="1" blackAndWhite="0" draft="0" cellComments="none" useFirstPageNumber="1" errors="displayed" horizontalDpi="2147483648" verticalDpi="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Company>Reanimator Extreme Edition</Company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</dc:creator>
  <cp:lastModifiedBy>Вероника Прокина</cp:lastModifiedBy>
  <cp:revision>1</cp:revision>
  <dcterms:created xsi:type="dcterms:W3CDTF">2017-04-27T07:18:00Z</dcterms:created>
  <dcterms:modified xsi:type="dcterms:W3CDTF">2024-07-01T06:28:23Z</dcterms:modified>
</cp:coreProperties>
</file>